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tabRatio="601" activeTab="1"/>
  </bookViews>
  <sheets>
    <sheet name="BAR" sheetId="2" r:id="rId1"/>
    <sheet name="OW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1" i="4" l="1"/>
  <c r="X16" i="2" l="1"/>
  <c r="Y16" i="4" s="1"/>
  <c r="X7" i="4" l="1"/>
  <c r="X8" i="4"/>
  <c r="X9" i="4"/>
  <c r="X10" i="4"/>
  <c r="X12" i="4"/>
  <c r="X13" i="4"/>
  <c r="X14" i="4"/>
  <c r="X15" i="4"/>
  <c r="X16" i="4"/>
  <c r="X17" i="4"/>
  <c r="X18" i="4"/>
  <c r="X20" i="4"/>
  <c r="X21" i="4"/>
  <c r="X22" i="4"/>
  <c r="X23" i="4"/>
  <c r="X7" i="2"/>
  <c r="X8" i="2"/>
  <c r="X9" i="2"/>
  <c r="X10" i="2"/>
  <c r="X11" i="2"/>
  <c r="X12" i="2"/>
  <c r="X13" i="2"/>
  <c r="X14" i="2"/>
  <c r="X15" i="2"/>
  <c r="X17" i="2"/>
  <c r="X18" i="2"/>
  <c r="X20" i="2"/>
  <c r="X21" i="2"/>
  <c r="X22" i="2"/>
  <c r="X23" i="2"/>
  <c r="Y23" i="4" s="1"/>
  <c r="X6" i="2"/>
  <c r="Z23" i="4" l="1"/>
  <c r="V24" i="2"/>
  <c r="S24" i="2"/>
  <c r="P24" i="2"/>
  <c r="M24" i="2"/>
  <c r="J24" i="2"/>
  <c r="G24" i="2"/>
  <c r="D24" i="2"/>
  <c r="M24" i="4"/>
  <c r="P24" i="4"/>
  <c r="S24" i="4"/>
  <c r="V24" i="4"/>
  <c r="J24" i="4"/>
  <c r="D24" i="4"/>
  <c r="G24" i="4"/>
  <c r="X6" i="4" l="1"/>
  <c r="Y15" i="4"/>
  <c r="X24" i="4" l="1"/>
  <c r="X25" i="4"/>
  <c r="Y22" i="4"/>
  <c r="Z22" i="4" l="1"/>
  <c r="Y21" i="4"/>
  <c r="Z21" i="4" s="1"/>
  <c r="Y20" i="2" l="1"/>
  <c r="Z20" i="2" l="1"/>
  <c r="Y20" i="4"/>
  <c r="Y14" i="4"/>
  <c r="Y17" i="4" l="1"/>
  <c r="Y18" i="4"/>
  <c r="Z20" i="4"/>
  <c r="Z18" i="4" l="1"/>
  <c r="Z17" i="4"/>
  <c r="Z14" i="4" l="1"/>
  <c r="Z16" i="4" l="1"/>
  <c r="Z15" i="4"/>
  <c r="Y13" i="4" l="1"/>
  <c r="Z13" i="4" s="1"/>
  <c r="Y12" i="4"/>
  <c r="Z12" i="4" s="1"/>
  <c r="X29" i="2"/>
  <c r="Y9" i="4" l="1"/>
  <c r="Z9" i="4" s="1"/>
  <c r="Y7" i="4"/>
  <c r="Z7" i="4" s="1"/>
  <c r="Y8" i="4"/>
  <c r="Z8" i="4" s="1"/>
  <c r="Y10" i="4" l="1"/>
  <c r="Z10" i="4" s="1"/>
  <c r="Y11" i="4"/>
  <c r="Z11" i="4" s="1"/>
  <c r="Y6" i="4"/>
  <c r="X24" i="2" l="1"/>
  <c r="X25" i="2"/>
  <c r="Z6" i="4" l="1"/>
  <c r="O2" i="2" l="1"/>
  <c r="L2" i="2"/>
  <c r="O2" i="4"/>
  <c r="L2" i="4"/>
</calcChain>
</file>

<file path=xl/sharedStrings.xml><?xml version="1.0" encoding="utf-8"?>
<sst xmlns="http://schemas.openxmlformats.org/spreadsheetml/2006/main" count="183" uniqueCount="49">
  <si>
    <t>BAR</t>
  </si>
  <si>
    <t>CC Elbląg</t>
  </si>
  <si>
    <t>Grafik ważny w dniach :</t>
  </si>
  <si>
    <t>-</t>
  </si>
  <si>
    <t>lp.</t>
  </si>
  <si>
    <t xml:space="preserve">Nazwisko i Imię </t>
  </si>
  <si>
    <t>tyg.</t>
  </si>
  <si>
    <t>piątek</t>
  </si>
  <si>
    <t>sobota</t>
  </si>
  <si>
    <t>niedziela</t>
  </si>
  <si>
    <t>poniedziałek</t>
  </si>
  <si>
    <t>wtorek</t>
  </si>
  <si>
    <t>środa</t>
  </si>
  <si>
    <t>czwartek</t>
  </si>
  <si>
    <t>NASZE KOMENTARZE</t>
  </si>
  <si>
    <t>Aleksandra G.</t>
  </si>
  <si>
    <t>SP</t>
  </si>
  <si>
    <t>OW</t>
  </si>
  <si>
    <t>Kacper W.</t>
  </si>
  <si>
    <t>Leonard C.</t>
  </si>
  <si>
    <t>Roksana P.</t>
  </si>
  <si>
    <t>Alan H.</t>
  </si>
  <si>
    <t>Szk</t>
  </si>
  <si>
    <t>Weronika D.</t>
  </si>
  <si>
    <t>Patrycja N.</t>
  </si>
  <si>
    <t>SPRZATANIE SOCJALA</t>
  </si>
  <si>
    <t>Ssoc</t>
  </si>
  <si>
    <t>SPRZATANIE SZATNI</t>
  </si>
  <si>
    <t>Ssz</t>
  </si>
  <si>
    <t>BRAK PROPOZYCJI</t>
  </si>
  <si>
    <t>SZKOLENIE</t>
  </si>
  <si>
    <t>BRAK SZKOLEŃ</t>
  </si>
  <si>
    <t>NOKTOWIZOR</t>
  </si>
  <si>
    <t>N</t>
  </si>
  <si>
    <t>SPRZĄTANIE</t>
  </si>
  <si>
    <t>OBSŁUGA WIDZA</t>
  </si>
  <si>
    <t>Emilia B.</t>
  </si>
  <si>
    <t>BAR/OW</t>
  </si>
  <si>
    <t>Wioleta J.</t>
  </si>
  <si>
    <t>Klaudia G.</t>
  </si>
  <si>
    <t>Dominik P.</t>
  </si>
  <si>
    <t>Jakub P.</t>
  </si>
  <si>
    <t>Alina M.</t>
  </si>
  <si>
    <t>Sara W.</t>
  </si>
  <si>
    <t>Zuzanna M.</t>
  </si>
  <si>
    <t>Justyna P.</t>
  </si>
  <si>
    <t>Michał K.</t>
  </si>
  <si>
    <t>OW/SP</t>
  </si>
  <si>
    <t>Sara 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</si>
</sst>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/mm/yyyy"/>
    <numFmt numFmtId="165" formatCode="dd/mm/yy"/>
    <numFmt numFmtId="166" formatCode="[$-415]d/mmm/yyyy;@"/>
    <numFmt numFmtId="167" formatCode="[hh]:mm:ss"/>
  </numFmts>
  <fonts count="25">
    <font>
      <sz val="11"/>
      <color theme="1"/>
      <name val="Calibri"/>
      <family val="2"/>
      <scheme val="minor"/>
    </font>
    <font>
      <sz val="10"/>
      <name val="Arial CE"/>
      <charset val="238"/>
    </font>
    <font>
      <b/>
      <sz val="20"/>
      <name val="Bahnschrift Light"/>
      <family val="2"/>
      <charset val="238"/>
    </font>
    <font>
      <b/>
      <sz val="12"/>
      <name val="Times New Roman"/>
      <family val="1"/>
      <charset val="238"/>
    </font>
    <font>
      <b/>
      <u/>
      <sz val="20"/>
      <color indexed="10"/>
      <name val="Bahnschrift Light"/>
      <family val="2"/>
      <charset val="238"/>
    </font>
    <font>
      <b/>
      <sz val="48"/>
      <name val="Bahnschrift Light"/>
      <family val="2"/>
      <charset val="238"/>
    </font>
    <font>
      <sz val="10"/>
      <name val="Arial"/>
      <family val="2"/>
      <charset val="238"/>
    </font>
    <font>
      <sz val="20"/>
      <name val="Bahnschrift Light"/>
      <family val="2"/>
      <charset val="238"/>
    </font>
    <font>
      <b/>
      <u/>
      <sz val="20"/>
      <color indexed="9"/>
      <name val="Bahnschrift Light"/>
      <family val="2"/>
      <charset val="238"/>
    </font>
    <font>
      <sz val="20"/>
      <color indexed="8"/>
      <name val="Bahnschrift Light"/>
      <family val="2"/>
      <charset val="238"/>
    </font>
    <font>
      <b/>
      <sz val="20"/>
      <color indexed="8"/>
      <name val="Bahnschrift Light"/>
      <family val="2"/>
      <charset val="238"/>
    </font>
    <font>
      <b/>
      <sz val="18"/>
      <name val="Bahnschrift Light"/>
      <family val="2"/>
      <charset val="238"/>
    </font>
    <font>
      <b/>
      <sz val="20"/>
      <color indexed="10"/>
      <name val="Bahnschrift Light"/>
      <family val="2"/>
      <charset val="238"/>
    </font>
    <font>
      <b/>
      <sz val="18"/>
      <color indexed="10"/>
      <name val="Bahnschrift Light"/>
      <family val="2"/>
      <charset val="238"/>
    </font>
    <font>
      <sz val="20"/>
      <color indexed="10"/>
      <name val="Bahnschrift Light"/>
      <family val="2"/>
      <charset val="238"/>
    </font>
    <font>
      <b/>
      <u/>
      <sz val="20"/>
      <name val="Bahnschrift Light"/>
      <family val="2"/>
      <charset val="238"/>
    </font>
    <font>
      <b/>
      <sz val="16"/>
      <name val="DINPro-Regular"/>
      <family val="3"/>
      <charset val="238"/>
    </font>
    <font>
      <b/>
      <sz val="12"/>
      <name val="DINPro-Regular"/>
      <family val="3"/>
      <charset val="238"/>
    </font>
    <font>
      <b/>
      <i/>
      <u/>
      <sz val="20"/>
      <color indexed="10"/>
      <name val="Bahnschrift Light"/>
      <family val="2"/>
      <charset val="238"/>
    </font>
    <font>
      <b/>
      <sz val="22"/>
      <name val="Bahnschrift Light"/>
      <family val="2"/>
      <charset val="238"/>
    </font>
    <font>
      <b/>
      <sz val="22"/>
      <color indexed="10"/>
      <name val="Bahnschrift Light"/>
      <family val="2"/>
      <charset val="238"/>
    </font>
    <font>
      <b/>
      <sz val="22"/>
      <color theme="1"/>
      <name val="Calibri"/>
      <family val="2"/>
      <charset val="238"/>
      <scheme val="minor"/>
    </font>
    <font>
      <b/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8"/>
      <color rgb="FFFF0000"/>
      <name val="Bahnschrift Light"/>
      <family val="2"/>
      <charset val="238"/>
    </font>
  </fonts>
  <fills count="2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theme="0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indexed="44"/>
        <bgColor indexed="31"/>
      </patternFill>
    </fill>
    <fill>
      <patternFill patternType="solid">
        <fgColor indexed="13"/>
        <bgColor indexed="34"/>
      </patternFill>
    </fill>
    <fill>
      <patternFill patternType="solid">
        <fgColor indexed="50"/>
        <bgColor indexed="57"/>
      </patternFill>
    </fill>
    <fill>
      <patternFill patternType="solid">
        <fgColor indexed="10"/>
        <bgColor indexed="60"/>
      </patternFill>
    </fill>
    <fill>
      <patternFill patternType="solid">
        <fgColor theme="0"/>
        <bgColor indexed="60"/>
      </patternFill>
    </fill>
    <fill>
      <patternFill patternType="solid">
        <fgColor rgb="FF00B0F0"/>
        <bgColor indexed="31"/>
      </patternFill>
    </fill>
    <fill>
      <patternFill patternType="solid">
        <fgColor indexed="46"/>
        <bgColor indexed="24"/>
      </patternFill>
    </fill>
    <fill>
      <patternFill patternType="solid">
        <fgColor rgb="FFFF66CC"/>
        <bgColor indexed="45"/>
      </patternFill>
    </fill>
    <fill>
      <patternFill patternType="solid">
        <fgColor indexed="53"/>
        <bgColor indexed="52"/>
      </patternFill>
    </fill>
    <fill>
      <patternFill patternType="solid">
        <fgColor rgb="FFCC00CC"/>
        <bgColor indexed="33"/>
      </patternFill>
    </fill>
    <fill>
      <patternFill patternType="solid">
        <fgColor rgb="FF92D050"/>
        <bgColor indexed="52"/>
      </patternFill>
    </fill>
    <fill>
      <patternFill patternType="solid">
        <fgColor rgb="FFFF0000"/>
        <bgColor indexed="52"/>
      </patternFill>
    </fill>
    <fill>
      <patternFill patternType="solid">
        <fgColor theme="0"/>
        <bgColor indexed="52"/>
      </patternFill>
    </fill>
    <fill>
      <patternFill patternType="solid">
        <fgColor theme="0"/>
        <bgColor indexed="31"/>
      </patternFill>
    </fill>
    <fill>
      <patternFill patternType="solid">
        <fgColor rgb="FFE965C6"/>
        <bgColor indexed="45"/>
      </patternFill>
    </fill>
    <fill>
      <patternFill patternType="solid">
        <fgColor theme="1"/>
        <bgColor indexed="52"/>
      </patternFill>
    </fill>
    <fill>
      <patternFill patternType="solid">
        <fgColor theme="1"/>
        <bgColor indexed="64"/>
      </patternFill>
    </fill>
    <fill>
      <patternFill patternType="solid">
        <fgColor rgb="FFE965C6"/>
        <bgColor indexed="64"/>
      </patternFill>
    </fill>
    <fill>
      <patternFill patternType="solid">
        <fgColor rgb="FFE965C6"/>
        <bgColor indexed="52"/>
      </patternFill>
    </fill>
  </fills>
  <borders count="21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medium">
        <color indexed="64"/>
      </left>
      <right style="medium">
        <color indexed="64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6" fillId="0" borderId="0"/>
    <xf numFmtId="0" fontId="1" fillId="0" borderId="0"/>
  </cellStyleXfs>
  <cellXfs count="117">
    <xf numFmtId="0" fontId="0" fillId="0" borderId="0" xfId="0"/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vertical="center"/>
    </xf>
    <xf numFmtId="164" fontId="2" fillId="0" borderId="0" xfId="1" applyNumberFormat="1" applyFont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2" fillId="0" borderId="4" xfId="2" applyFont="1" applyBorder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0" fontId="7" fillId="0" borderId="0" xfId="2" applyFont="1" applyAlignment="1">
      <alignment horizontal="center" vertical="center"/>
    </xf>
    <xf numFmtId="164" fontId="4" fillId="0" borderId="0" xfId="1" applyNumberFormat="1" applyFont="1" applyAlignment="1">
      <alignment horizontal="center" vertical="center" wrapText="1"/>
    </xf>
    <xf numFmtId="164" fontId="8" fillId="0" borderId="0" xfId="1" applyNumberFormat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2" fillId="0" borderId="0" xfId="1" applyFont="1" applyAlignment="1">
      <alignment horizontal="left" vertical="center"/>
    </xf>
    <xf numFmtId="0" fontId="7" fillId="5" borderId="10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10" fillId="2" borderId="0" xfId="1" applyFont="1" applyFill="1" applyAlignment="1">
      <alignment horizontal="center" vertical="center"/>
    </xf>
    <xf numFmtId="167" fontId="2" fillId="0" borderId="0" xfId="3" applyNumberFormat="1" applyFont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2" fillId="7" borderId="13" xfId="2" applyFont="1" applyFill="1" applyBorder="1" applyAlignment="1">
      <alignment horizontal="center" vertical="center"/>
    </xf>
    <xf numFmtId="0" fontId="4" fillId="0" borderId="0" xfId="2" applyFont="1" applyAlignment="1">
      <alignment horizontal="center" vertical="center"/>
    </xf>
    <xf numFmtId="0" fontId="10" fillId="7" borderId="13" xfId="2" applyFont="1" applyFill="1" applyBorder="1" applyAlignment="1">
      <alignment horizontal="center" vertical="center"/>
    </xf>
    <xf numFmtId="0" fontId="7" fillId="0" borderId="0" xfId="2" applyFont="1" applyAlignment="1">
      <alignment vertical="center"/>
    </xf>
    <xf numFmtId="0" fontId="14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horizontal="center" vertical="center"/>
    </xf>
    <xf numFmtId="0" fontId="7" fillId="2" borderId="0" xfId="2" applyFont="1" applyFill="1" applyAlignment="1">
      <alignment vertical="center"/>
    </xf>
    <xf numFmtId="0" fontId="2" fillId="0" borderId="0" xfId="2" applyFont="1" applyAlignment="1">
      <alignment horizontal="left" vertical="center"/>
    </xf>
    <xf numFmtId="0" fontId="2" fillId="8" borderId="14" xfId="2" applyFont="1" applyFill="1" applyBorder="1" applyAlignment="1">
      <alignment horizontal="center" vertical="center"/>
    </xf>
    <xf numFmtId="0" fontId="10" fillId="8" borderId="14" xfId="2" applyFont="1" applyFill="1" applyBorder="1" applyAlignment="1">
      <alignment horizontal="center" vertical="center"/>
    </xf>
    <xf numFmtId="0" fontId="12" fillId="6" borderId="11" xfId="1" applyFont="1" applyFill="1" applyBorder="1" applyAlignment="1">
      <alignment horizontal="center" vertical="center"/>
    </xf>
    <xf numFmtId="0" fontId="12" fillId="0" borderId="0" xfId="1" applyFont="1" applyAlignment="1">
      <alignment horizontal="left" vertical="center"/>
    </xf>
    <xf numFmtId="0" fontId="12" fillId="2" borderId="0" xfId="1" applyFont="1" applyFill="1" applyAlignment="1">
      <alignment horizontal="center" vertical="center"/>
    </xf>
    <xf numFmtId="0" fontId="2" fillId="9" borderId="16" xfId="2" applyFont="1" applyFill="1" applyBorder="1" applyAlignment="1">
      <alignment horizontal="center" vertical="center"/>
    </xf>
    <xf numFmtId="0" fontId="10" fillId="9" borderId="16" xfId="2" applyFont="1" applyFill="1" applyBorder="1" applyAlignment="1">
      <alignment horizontal="center" vertical="center"/>
    </xf>
    <xf numFmtId="0" fontId="2" fillId="10" borderId="0" xfId="2" applyFont="1" applyFill="1" applyAlignment="1">
      <alignment horizontal="center" vertical="center"/>
    </xf>
    <xf numFmtId="0" fontId="14" fillId="3" borderId="0" xfId="2" applyFont="1" applyFill="1" applyAlignment="1">
      <alignment horizontal="center" vertical="center"/>
    </xf>
    <xf numFmtId="0" fontId="4" fillId="3" borderId="0" xfId="2" applyFont="1" applyFill="1" applyAlignment="1">
      <alignment horizontal="center" vertical="center"/>
    </xf>
    <xf numFmtId="0" fontId="10" fillId="10" borderId="0" xfId="2" applyFont="1" applyFill="1" applyAlignment="1">
      <alignment horizontal="center" vertical="center"/>
    </xf>
    <xf numFmtId="0" fontId="2" fillId="4" borderId="0" xfId="1" applyFont="1" applyFill="1" applyAlignment="1">
      <alignment horizontal="center" vertical="center"/>
    </xf>
    <xf numFmtId="0" fontId="7" fillId="3" borderId="0" xfId="2" applyFont="1" applyFill="1" applyAlignment="1">
      <alignment vertical="center"/>
    </xf>
    <xf numFmtId="0" fontId="7" fillId="4" borderId="0" xfId="2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/>
    </xf>
    <xf numFmtId="0" fontId="7" fillId="11" borderId="15" xfId="3" applyFont="1" applyFill="1" applyBorder="1" applyAlignment="1">
      <alignment horizontal="center" vertical="center"/>
    </xf>
    <xf numFmtId="0" fontId="7" fillId="11" borderId="6" xfId="2" applyFont="1" applyFill="1" applyBorder="1" applyAlignment="1">
      <alignment horizontal="center" vertical="center"/>
    </xf>
    <xf numFmtId="0" fontId="2" fillId="0" borderId="0" xfId="2" applyFont="1" applyAlignment="1">
      <alignment horizontal="center" vertical="center"/>
    </xf>
    <xf numFmtId="20" fontId="2" fillId="0" borderId="0" xfId="2" applyNumberFormat="1" applyFont="1" applyAlignment="1">
      <alignment vertical="center"/>
    </xf>
    <xf numFmtId="0" fontId="2" fillId="0" borderId="0" xfId="2" applyFont="1" applyAlignment="1">
      <alignment vertical="center"/>
    </xf>
    <xf numFmtId="20" fontId="7" fillId="0" borderId="0" xfId="3" applyNumberFormat="1" applyFont="1" applyAlignment="1">
      <alignment horizontal="center" vertical="center"/>
    </xf>
    <xf numFmtId="0" fontId="7" fillId="12" borderId="12" xfId="3" applyFont="1" applyFill="1" applyBorder="1" applyAlignment="1">
      <alignment horizontal="center" vertical="center"/>
    </xf>
    <xf numFmtId="0" fontId="7" fillId="12" borderId="8" xfId="2" applyFont="1" applyFill="1" applyBorder="1" applyAlignment="1">
      <alignment horizontal="center" vertical="center"/>
    </xf>
    <xf numFmtId="0" fontId="12" fillId="0" borderId="0" xfId="2" applyFont="1" applyAlignment="1">
      <alignment vertical="center"/>
    </xf>
    <xf numFmtId="0" fontId="12" fillId="3" borderId="0" xfId="1" applyFont="1" applyFill="1" applyAlignment="1">
      <alignment horizontal="center" vertical="center"/>
    </xf>
    <xf numFmtId="0" fontId="7" fillId="13" borderId="12" xfId="2" applyFont="1" applyFill="1" applyBorder="1" applyAlignment="1">
      <alignment horizontal="center" vertical="center"/>
    </xf>
    <xf numFmtId="0" fontId="15" fillId="0" borderId="0" xfId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1" applyFont="1" applyAlignment="1">
      <alignment horizontal="center" vertical="center"/>
    </xf>
    <xf numFmtId="0" fontId="7" fillId="14" borderId="12" xfId="3" applyFont="1" applyFill="1" applyBorder="1" applyAlignment="1">
      <alignment horizontal="center" vertical="center"/>
    </xf>
    <xf numFmtId="0" fontId="7" fillId="14" borderId="8" xfId="3" applyFont="1" applyFill="1" applyBorder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46" fontId="2" fillId="0" borderId="0" xfId="1" applyNumberFormat="1" applyFont="1" applyAlignment="1">
      <alignment horizontal="center" vertical="center"/>
    </xf>
    <xf numFmtId="0" fontId="7" fillId="15" borderId="17" xfId="3" applyFont="1" applyFill="1" applyBorder="1" applyAlignment="1">
      <alignment horizontal="center" vertical="center"/>
    </xf>
    <xf numFmtId="0" fontId="7" fillId="15" borderId="7" xfId="3" applyFont="1" applyFill="1" applyBorder="1" applyAlignment="1">
      <alignment horizontal="center" vertical="center"/>
    </xf>
    <xf numFmtId="0" fontId="7" fillId="0" borderId="0" xfId="1" applyFont="1" applyAlignment="1">
      <alignment vertical="center"/>
    </xf>
    <xf numFmtId="0" fontId="16" fillId="0" borderId="0" xfId="1" applyFont="1" applyAlignment="1">
      <alignment horizontal="center" vertical="center"/>
    </xf>
    <xf numFmtId="0" fontId="17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18" fillId="0" borderId="0" xfId="2" applyFont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19" fillId="0" borderId="0" xfId="2" applyFont="1" applyAlignment="1">
      <alignment horizontal="center" vertical="center"/>
    </xf>
    <xf numFmtId="0" fontId="20" fillId="0" borderId="0" xfId="2" applyFont="1" applyAlignment="1">
      <alignment horizontal="center" vertical="center"/>
    </xf>
    <xf numFmtId="0" fontId="7" fillId="17" borderId="17" xfId="3" applyFont="1" applyFill="1" applyBorder="1" applyAlignment="1">
      <alignment horizontal="center" vertical="center"/>
    </xf>
    <xf numFmtId="0" fontId="7" fillId="17" borderId="7" xfId="3" applyFont="1" applyFill="1" applyBorder="1" applyAlignment="1">
      <alignment horizontal="center" vertical="center"/>
    </xf>
    <xf numFmtId="0" fontId="22" fillId="0" borderId="0" xfId="0" applyFont="1"/>
    <xf numFmtId="0" fontId="7" fillId="16" borderId="18" xfId="3" applyFont="1" applyFill="1" applyBorder="1" applyAlignment="1">
      <alignment horizontal="center" vertical="center"/>
    </xf>
    <xf numFmtId="167" fontId="2" fillId="6" borderId="18" xfId="3" applyNumberFormat="1" applyFont="1" applyFill="1" applyBorder="1" applyAlignment="1">
      <alignment horizontal="center" vertical="center"/>
    </xf>
    <xf numFmtId="167" fontId="2" fillId="0" borderId="20" xfId="3" applyNumberFormat="1" applyFont="1" applyBorder="1" applyAlignment="1" applyProtection="1">
      <alignment horizontal="center" vertical="center"/>
      <protection locked="0"/>
    </xf>
    <xf numFmtId="0" fontId="2" fillId="4" borderId="0" xfId="3" applyFont="1" applyFill="1" applyAlignment="1">
      <alignment horizontal="center" vertical="center"/>
    </xf>
    <xf numFmtId="0" fontId="21" fillId="4" borderId="9" xfId="0" applyFont="1" applyFill="1" applyBorder="1" applyAlignment="1">
      <alignment horizontal="center"/>
    </xf>
    <xf numFmtId="0" fontId="21" fillId="0" borderId="9" xfId="0" applyFont="1" applyBorder="1" applyAlignment="1">
      <alignment horizontal="center"/>
    </xf>
    <xf numFmtId="0" fontId="5" fillId="0" borderId="0" xfId="1" applyFont="1" applyAlignment="1">
      <alignment horizontal="center" vertical="center"/>
    </xf>
    <xf numFmtId="167" fontId="2" fillId="6" borderId="0" xfId="3" applyNumberFormat="1" applyFont="1" applyFill="1" applyAlignment="1">
      <alignment horizontal="center" vertical="center"/>
    </xf>
    <xf numFmtId="167" fontId="2" fillId="0" borderId="18" xfId="3" applyNumberFormat="1" applyFont="1" applyBorder="1" applyAlignment="1">
      <alignment horizontal="center" vertical="center"/>
    </xf>
    <xf numFmtId="0" fontId="7" fillId="18" borderId="20" xfId="3" applyFont="1" applyFill="1" applyBorder="1" applyAlignment="1">
      <alignment horizontal="center" vertical="center"/>
    </xf>
    <xf numFmtId="167" fontId="12" fillId="0" borderId="20" xfId="3" applyNumberFormat="1" applyFont="1" applyBorder="1" applyAlignment="1" applyProtection="1">
      <alignment horizontal="center" vertical="center"/>
      <protection locked="0"/>
    </xf>
    <xf numFmtId="167" fontId="2" fillId="19" borderId="20" xfId="3" applyNumberFormat="1" applyFont="1" applyFill="1" applyBorder="1" applyAlignment="1">
      <alignment horizontal="center" vertical="center"/>
    </xf>
    <xf numFmtId="20" fontId="23" fillId="0" borderId="18" xfId="0" applyNumberFormat="1" applyFont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7" fillId="20" borderId="8" xfId="2" applyFont="1" applyFill="1" applyBorder="1" applyAlignment="1">
      <alignment horizontal="center" vertical="center"/>
    </xf>
    <xf numFmtId="167" fontId="2" fillId="0" borderId="20" xfId="3" applyNumberFormat="1" applyFont="1" applyBorder="1" applyAlignment="1" applyProtection="1">
      <alignment horizontal="center" vertical="center"/>
      <protection locked="0"/>
    </xf>
    <xf numFmtId="0" fontId="9" fillId="2" borderId="18" xfId="1" applyFont="1" applyFill="1" applyBorder="1" applyAlignment="1">
      <alignment horizontal="center" vertical="center"/>
    </xf>
    <xf numFmtId="0" fontId="7" fillId="21" borderId="18" xfId="3" applyFont="1" applyFill="1" applyBorder="1" applyAlignment="1">
      <alignment horizontal="center" vertical="center"/>
    </xf>
    <xf numFmtId="20" fontId="23" fillId="22" borderId="18" xfId="0" applyNumberFormat="1" applyFont="1" applyFill="1" applyBorder="1" applyAlignment="1">
      <alignment horizontal="center" vertical="center"/>
    </xf>
    <xf numFmtId="20" fontId="23" fillId="4" borderId="20" xfId="0" applyNumberFormat="1" applyFont="1" applyFill="1" applyBorder="1" applyAlignment="1">
      <alignment horizontal="center" vertical="center"/>
    </xf>
    <xf numFmtId="167" fontId="2" fillId="0" borderId="20" xfId="3" applyNumberFormat="1" applyFont="1" applyBorder="1" applyAlignment="1" applyProtection="1">
      <alignment horizontal="center" vertical="center"/>
      <protection locked="0"/>
    </xf>
    <xf numFmtId="0" fontId="9" fillId="2" borderId="18" xfId="1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20" fontId="23" fillId="23" borderId="18" xfId="0" applyNumberFormat="1" applyFont="1" applyFill="1" applyBorder="1" applyAlignment="1">
      <alignment horizontal="center" vertical="center"/>
    </xf>
    <xf numFmtId="20" fontId="23" fillId="4" borderId="18" xfId="0" applyNumberFormat="1" applyFont="1" applyFill="1" applyBorder="1" applyAlignment="1">
      <alignment horizontal="center" vertical="center"/>
    </xf>
    <xf numFmtId="0" fontId="2" fillId="4" borderId="0" xfId="2" applyFont="1" applyFill="1" applyAlignment="1">
      <alignment horizontal="center" vertical="center"/>
    </xf>
    <xf numFmtId="0" fontId="13" fillId="0" borderId="0" xfId="3" applyFont="1" applyAlignment="1">
      <alignment horizontal="center" vertical="center" wrapText="1"/>
    </xf>
    <xf numFmtId="0" fontId="24" fillId="4" borderId="0" xfId="3" applyFont="1" applyFill="1" applyAlignment="1">
      <alignment horizontal="center" vertical="center" wrapText="1"/>
    </xf>
    <xf numFmtId="167" fontId="2" fillId="0" borderId="20" xfId="3" applyNumberFormat="1" applyFont="1" applyBorder="1" applyAlignment="1" applyProtection="1">
      <alignment horizontal="center" vertical="center"/>
      <protection locked="0"/>
    </xf>
    <xf numFmtId="0" fontId="2" fillId="3" borderId="18" xfId="3" applyFont="1" applyFill="1" applyBorder="1" applyAlignment="1">
      <alignment horizontal="center" vertical="center"/>
    </xf>
    <xf numFmtId="0" fontId="2" fillId="2" borderId="18" xfId="3" applyFont="1" applyFill="1" applyBorder="1" applyAlignment="1">
      <alignment horizontal="center" vertical="center"/>
    </xf>
    <xf numFmtId="0" fontId="2" fillId="2" borderId="9" xfId="3" applyFont="1" applyFill="1" applyBorder="1" applyAlignment="1">
      <alignment horizontal="center" vertical="center"/>
    </xf>
    <xf numFmtId="0" fontId="9" fillId="2" borderId="18" xfId="1" applyFont="1" applyFill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2" fillId="0" borderId="2" xfId="2" applyFont="1" applyBorder="1" applyAlignment="1">
      <alignment horizontal="center" vertical="center" wrapText="1"/>
    </xf>
    <xf numFmtId="0" fontId="2" fillId="0" borderId="4" xfId="2" applyFont="1" applyBorder="1" applyAlignment="1">
      <alignment horizontal="center" vertical="center" wrapText="1"/>
    </xf>
    <xf numFmtId="0" fontId="2" fillId="0" borderId="19" xfId="2" applyFont="1" applyBorder="1" applyAlignment="1">
      <alignment horizontal="center" vertical="center" wrapText="1"/>
    </xf>
    <xf numFmtId="165" fontId="2" fillId="0" borderId="3" xfId="2" applyNumberFormat="1" applyFont="1" applyBorder="1" applyAlignment="1">
      <alignment horizontal="center" vertical="center" wrapText="1"/>
    </xf>
    <xf numFmtId="165" fontId="2" fillId="0" borderId="5" xfId="2" applyNumberFormat="1" applyFont="1" applyBorder="1" applyAlignment="1">
      <alignment horizontal="center" vertical="center" wrapText="1"/>
    </xf>
    <xf numFmtId="0" fontId="10" fillId="0" borderId="18" xfId="3" applyFont="1" applyBorder="1" applyAlignment="1">
      <alignment horizontal="center" vertical="center"/>
    </xf>
    <xf numFmtId="166" fontId="10" fillId="2" borderId="18" xfId="3" applyNumberFormat="1" applyFont="1" applyFill="1" applyBorder="1" applyAlignment="1">
      <alignment horizontal="center" vertical="center"/>
    </xf>
    <xf numFmtId="0" fontId="2" fillId="0" borderId="18" xfId="3" applyFont="1" applyBorder="1" applyAlignment="1">
      <alignment horizontal="center" vertical="center"/>
    </xf>
    <xf numFmtId="0" fontId="7" fillId="24" borderId="18" xfId="3" applyFont="1" applyFill="1" applyBorder="1" applyAlignment="1">
      <alignment horizontal="center" vertical="center"/>
    </xf>
  </cellXfs>
  <cellStyles count="4">
    <cellStyle name="Normalny" xfId="0" builtinId="0"/>
    <cellStyle name="Normalny 2" xfId="2"/>
    <cellStyle name="Normalny 3" xfId="3"/>
    <cellStyle name="Normalny_06.2007 obw" xfId="1"/>
  </cellStyles>
  <dxfs count="14"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  <dxf>
      <fill>
        <patternFill patternType="solid">
          <fgColor indexed="60"/>
          <bgColor indexed="10"/>
        </patternFill>
      </fill>
    </dxf>
  </dxfs>
  <tableStyles count="0" defaultTableStyle="TableStyleMedium2" defaultPivotStyle="PivotStyleLight16"/>
  <colors>
    <mruColors>
      <color rgb="FFE965C6"/>
      <color rgb="FFFF33CC"/>
      <color rgb="FFBC22C8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40"/>
  <sheetViews>
    <sheetView zoomScale="60" zoomScaleNormal="60" workbookViewId="0">
      <selection activeCell="G24" sqref="G24:H24"/>
    </sheetView>
  </sheetViews>
  <sheetFormatPr defaultRowHeight="15"/>
  <cols>
    <col min="1" max="1" width="9.42578125" customWidth="1"/>
    <col min="2" max="2" width="40" customWidth="1"/>
    <col min="3" max="3" width="15.85546875" customWidth="1"/>
    <col min="4" max="5" width="17.5703125" bestFit="1" customWidth="1"/>
    <col min="6" max="6" width="20" customWidth="1"/>
    <col min="7" max="7" width="15.5703125" bestFit="1" customWidth="1"/>
    <col min="8" max="8" width="18.7109375" customWidth="1"/>
    <col min="9" max="9" width="19.28515625" customWidth="1"/>
    <col min="10" max="10" width="16.140625" bestFit="1" customWidth="1"/>
    <col min="11" max="11" width="16.28515625" customWidth="1"/>
    <col min="12" max="12" width="15.42578125" customWidth="1"/>
    <col min="13" max="13" width="15.85546875" customWidth="1"/>
    <col min="14" max="14" width="15.5703125" customWidth="1"/>
    <col min="15" max="15" width="16.42578125" customWidth="1"/>
    <col min="16" max="16" width="16" bestFit="1" customWidth="1"/>
    <col min="17" max="17" width="18.85546875" customWidth="1"/>
    <col min="18" max="18" width="16.28515625" customWidth="1"/>
    <col min="19" max="19" width="13" customWidth="1"/>
    <col min="20" max="20" width="15.140625" customWidth="1"/>
    <col min="21" max="21" width="16.28515625" customWidth="1"/>
    <col min="22" max="22" width="16.28515625" bestFit="1" customWidth="1"/>
    <col min="23" max="23" width="20" customWidth="1"/>
    <col min="24" max="24" width="28.140625" customWidth="1"/>
    <col min="25" max="25" width="47" customWidth="1"/>
    <col min="26" max="26" width="19" customWidth="1"/>
  </cols>
  <sheetData>
    <row r="1" spans="1:25" ht="26.25" thickBot="1">
      <c r="A1" s="1"/>
      <c r="B1" s="1"/>
      <c r="C1" s="1"/>
      <c r="D1" s="2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07" t="s">
        <v>0</v>
      </c>
      <c r="T1" s="107"/>
      <c r="U1" s="107"/>
      <c r="V1" s="107"/>
      <c r="W1" s="107"/>
      <c r="X1" s="107"/>
      <c r="Y1" s="1"/>
    </row>
    <row r="2" spans="1:25" ht="26.25" customHeight="1" thickBot="1">
      <c r="A2" s="1"/>
      <c r="B2" s="4" t="s">
        <v>1</v>
      </c>
      <c r="C2" s="4"/>
      <c r="D2" s="5"/>
      <c r="E2" s="5"/>
      <c r="F2" s="5"/>
      <c r="G2" s="108" t="s">
        <v>2</v>
      </c>
      <c r="H2" s="109"/>
      <c r="I2" s="109"/>
      <c r="J2" s="109"/>
      <c r="K2" s="110"/>
      <c r="L2" s="111">
        <f>C4</f>
        <v>45989</v>
      </c>
      <c r="M2" s="111"/>
      <c r="N2" s="6" t="s">
        <v>3</v>
      </c>
      <c r="O2" s="112">
        <f>U4</f>
        <v>45995</v>
      </c>
      <c r="P2" s="112"/>
      <c r="Q2" s="7"/>
      <c r="R2" s="8"/>
      <c r="S2" s="107"/>
      <c r="T2" s="107"/>
      <c r="U2" s="107"/>
      <c r="V2" s="107"/>
      <c r="W2" s="107"/>
      <c r="X2" s="107"/>
      <c r="Y2" s="1"/>
    </row>
    <row r="3" spans="1:25" ht="25.5">
      <c r="A3" s="1"/>
      <c r="B3" s="9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0"/>
      <c r="U3" s="1"/>
      <c r="V3" s="1"/>
      <c r="W3" s="1"/>
      <c r="X3" s="1"/>
      <c r="Y3" s="1"/>
    </row>
    <row r="4" spans="1:25" ht="25.5">
      <c r="A4" s="106" t="s">
        <v>4</v>
      </c>
      <c r="B4" s="113" t="s">
        <v>5</v>
      </c>
      <c r="C4" s="114">
        <v>45989</v>
      </c>
      <c r="D4" s="114"/>
      <c r="E4" s="114"/>
      <c r="F4" s="114">
        <v>45990</v>
      </c>
      <c r="G4" s="114"/>
      <c r="H4" s="114"/>
      <c r="I4" s="114">
        <v>45991</v>
      </c>
      <c r="J4" s="114"/>
      <c r="K4" s="114"/>
      <c r="L4" s="114">
        <v>45992</v>
      </c>
      <c r="M4" s="114"/>
      <c r="N4" s="114"/>
      <c r="O4" s="114">
        <v>45993</v>
      </c>
      <c r="P4" s="114"/>
      <c r="Q4" s="114"/>
      <c r="R4" s="114">
        <v>45994</v>
      </c>
      <c r="S4" s="114"/>
      <c r="T4" s="114"/>
      <c r="U4" s="114">
        <v>45995</v>
      </c>
      <c r="V4" s="114"/>
      <c r="W4" s="114"/>
      <c r="X4" s="115" t="s">
        <v>6</v>
      </c>
      <c r="Y4" s="11"/>
    </row>
    <row r="5" spans="1:25" ht="25.5">
      <c r="A5" s="106"/>
      <c r="B5" s="113"/>
      <c r="C5" s="103" t="s">
        <v>7</v>
      </c>
      <c r="D5" s="103"/>
      <c r="E5" s="103"/>
      <c r="F5" s="103" t="s">
        <v>8</v>
      </c>
      <c r="G5" s="103"/>
      <c r="H5" s="103"/>
      <c r="I5" s="103" t="s">
        <v>9</v>
      </c>
      <c r="J5" s="103"/>
      <c r="K5" s="103"/>
      <c r="L5" s="104" t="s">
        <v>10</v>
      </c>
      <c r="M5" s="104"/>
      <c r="N5" s="104"/>
      <c r="O5" s="104" t="s">
        <v>11</v>
      </c>
      <c r="P5" s="104"/>
      <c r="Q5" s="104"/>
      <c r="R5" s="103" t="s">
        <v>12</v>
      </c>
      <c r="S5" s="103"/>
      <c r="T5" s="103"/>
      <c r="U5" s="104" t="s">
        <v>13</v>
      </c>
      <c r="V5" s="104"/>
      <c r="W5" s="105"/>
      <c r="X5" s="115"/>
      <c r="Y5" s="12" t="s">
        <v>14</v>
      </c>
    </row>
    <row r="6" spans="1:25" ht="29.25" thickBot="1">
      <c r="A6" s="87">
        <v>1</v>
      </c>
      <c r="B6" s="78" t="s">
        <v>21</v>
      </c>
      <c r="C6" s="91"/>
      <c r="D6" s="92"/>
      <c r="E6" s="92"/>
      <c r="F6" s="91"/>
      <c r="G6" s="92"/>
      <c r="H6" s="92"/>
      <c r="I6" s="91"/>
      <c r="J6" s="92"/>
      <c r="K6" s="92"/>
      <c r="L6" s="74" t="s">
        <v>17</v>
      </c>
      <c r="M6" s="86"/>
      <c r="N6" s="86"/>
      <c r="O6" s="74" t="s">
        <v>0</v>
      </c>
      <c r="P6" s="86">
        <v>0.45833333333333331</v>
      </c>
      <c r="Q6" s="86">
        <v>0.71875</v>
      </c>
      <c r="R6" s="74"/>
      <c r="S6" s="86"/>
      <c r="T6" s="86"/>
      <c r="U6" s="14" t="s">
        <v>16</v>
      </c>
      <c r="V6" s="86"/>
      <c r="W6" s="86"/>
      <c r="X6" s="75">
        <f>E6-D6+H6-G6+K6-J6+N6-M6+Q6-P6+T6-S6+W6-V6</f>
        <v>0.26041666666666669</v>
      </c>
      <c r="Y6" s="12"/>
    </row>
    <row r="7" spans="1:25" ht="29.25" thickBot="1">
      <c r="A7" s="90">
        <v>2</v>
      </c>
      <c r="B7" s="78" t="s">
        <v>15</v>
      </c>
      <c r="C7" s="74" t="s">
        <v>0</v>
      </c>
      <c r="D7" s="86">
        <v>0.45833333333333331</v>
      </c>
      <c r="E7" s="86">
        <v>0.71875</v>
      </c>
      <c r="F7" s="91"/>
      <c r="G7" s="92"/>
      <c r="H7" s="92"/>
      <c r="I7" s="91"/>
      <c r="J7" s="92"/>
      <c r="K7" s="92"/>
      <c r="L7" s="14" t="s">
        <v>16</v>
      </c>
      <c r="M7" s="86"/>
      <c r="N7" s="86"/>
      <c r="O7" s="74" t="s">
        <v>37</v>
      </c>
      <c r="P7" s="86">
        <v>0.64583333333333337</v>
      </c>
      <c r="Q7" s="86">
        <v>0.89583333333333337</v>
      </c>
      <c r="R7" s="91"/>
      <c r="S7" s="92"/>
      <c r="T7" s="92"/>
      <c r="U7" s="74" t="s">
        <v>0</v>
      </c>
      <c r="V7" s="86">
        <v>0.375</v>
      </c>
      <c r="W7" s="86">
        <v>0.71875</v>
      </c>
      <c r="X7" s="75">
        <f t="shared" ref="X7:X23" si="0">E7-D7+H7-G7+K7-J7+N7-M7+Q7-P7+T7-S7+W7-V7</f>
        <v>0.85416666666666652</v>
      </c>
      <c r="Y7" s="13"/>
    </row>
    <row r="8" spans="1:25" ht="28.5">
      <c r="A8" s="90">
        <v>3</v>
      </c>
      <c r="B8" s="78" t="s">
        <v>42</v>
      </c>
      <c r="C8" s="74"/>
      <c r="D8" s="86"/>
      <c r="E8" s="86"/>
      <c r="F8" s="91"/>
      <c r="G8" s="92"/>
      <c r="H8" s="92"/>
      <c r="I8" s="91"/>
      <c r="J8" s="92"/>
      <c r="K8" s="92"/>
      <c r="L8" s="74" t="s">
        <v>17</v>
      </c>
      <c r="M8" s="86"/>
      <c r="N8" s="86"/>
      <c r="O8" s="91"/>
      <c r="P8" s="92"/>
      <c r="Q8" s="92"/>
      <c r="R8" s="74"/>
      <c r="S8" s="86"/>
      <c r="T8" s="86"/>
      <c r="U8" s="74" t="s">
        <v>37</v>
      </c>
      <c r="V8" s="86">
        <v>0.64583333333333337</v>
      </c>
      <c r="W8" s="86">
        <v>0.89583333333333337</v>
      </c>
      <c r="X8" s="75">
        <f t="shared" si="0"/>
        <v>0.25</v>
      </c>
      <c r="Y8" s="13"/>
    </row>
    <row r="9" spans="1:25" ht="29.25" thickBot="1">
      <c r="A9" s="90">
        <v>4</v>
      </c>
      <c r="B9" s="78" t="s">
        <v>40</v>
      </c>
      <c r="C9" s="74"/>
      <c r="D9" s="86"/>
      <c r="E9" s="86"/>
      <c r="F9" s="91"/>
      <c r="G9" s="92"/>
      <c r="H9" s="92"/>
      <c r="I9" s="91"/>
      <c r="J9" s="92"/>
      <c r="K9" s="92"/>
      <c r="L9" s="14" t="s">
        <v>16</v>
      </c>
      <c r="M9" s="86"/>
      <c r="N9" s="86"/>
      <c r="O9" s="74" t="s">
        <v>0</v>
      </c>
      <c r="P9" s="86">
        <v>0.70833333333333337</v>
      </c>
      <c r="Q9" s="86">
        <v>1</v>
      </c>
      <c r="R9" s="74"/>
      <c r="S9" s="86"/>
      <c r="T9" s="86"/>
      <c r="U9" s="74" t="s">
        <v>17</v>
      </c>
      <c r="V9" s="86"/>
      <c r="W9" s="86"/>
      <c r="X9" s="75">
        <f t="shared" si="0"/>
        <v>0.29166666666666663</v>
      </c>
      <c r="Y9" s="13"/>
    </row>
    <row r="10" spans="1:25" ht="29.25" thickBot="1">
      <c r="A10" s="90">
        <v>5</v>
      </c>
      <c r="B10" s="78" t="s">
        <v>36</v>
      </c>
      <c r="C10" s="91"/>
      <c r="D10" s="91"/>
      <c r="E10" s="91"/>
      <c r="F10" s="91"/>
      <c r="G10" s="92"/>
      <c r="H10" s="92"/>
      <c r="I10" s="91"/>
      <c r="J10" s="92"/>
      <c r="K10" s="92"/>
      <c r="L10" s="74" t="s">
        <v>0</v>
      </c>
      <c r="M10" s="86">
        <v>0.45833333333333331</v>
      </c>
      <c r="N10" s="86">
        <v>0.71875</v>
      </c>
      <c r="O10" s="74" t="s">
        <v>17</v>
      </c>
      <c r="P10" s="86"/>
      <c r="Q10" s="86"/>
      <c r="R10" s="14" t="s">
        <v>16</v>
      </c>
      <c r="S10" s="86"/>
      <c r="T10" s="86"/>
      <c r="U10" s="74"/>
      <c r="V10" s="86"/>
      <c r="W10" s="86"/>
      <c r="X10" s="75">
        <f t="shared" si="0"/>
        <v>0.26041666666666669</v>
      </c>
      <c r="Y10" s="13"/>
    </row>
    <row r="11" spans="1:25" ht="29.25" thickBot="1">
      <c r="A11" s="90">
        <v>6</v>
      </c>
      <c r="B11" s="78" t="s">
        <v>41</v>
      </c>
      <c r="C11" s="74" t="s">
        <v>17</v>
      </c>
      <c r="D11" s="86"/>
      <c r="E11" s="86"/>
      <c r="F11" s="74" t="s">
        <v>17</v>
      </c>
      <c r="G11" s="86"/>
      <c r="H11" s="86"/>
      <c r="I11" s="74" t="s">
        <v>37</v>
      </c>
      <c r="J11" s="86">
        <v>0.54166666666666663</v>
      </c>
      <c r="K11" s="86">
        <v>0.875</v>
      </c>
      <c r="L11" s="91"/>
      <c r="M11" s="92"/>
      <c r="N11" s="92"/>
      <c r="O11" s="74"/>
      <c r="P11" s="86"/>
      <c r="Q11" s="86"/>
      <c r="R11" s="91"/>
      <c r="S11" s="92"/>
      <c r="T11" s="92"/>
      <c r="U11" s="14" t="s">
        <v>16</v>
      </c>
      <c r="V11" s="86"/>
      <c r="W11" s="86"/>
      <c r="X11" s="75">
        <f t="shared" si="0"/>
        <v>0.33333333333333337</v>
      </c>
      <c r="Y11" s="13"/>
    </row>
    <row r="12" spans="1:25" ht="29.25" thickBot="1">
      <c r="A12" s="90">
        <v>7</v>
      </c>
      <c r="B12" s="78" t="s">
        <v>45</v>
      </c>
      <c r="C12" s="74"/>
      <c r="D12" s="86"/>
      <c r="E12" s="86"/>
      <c r="F12" s="14" t="s">
        <v>47</v>
      </c>
      <c r="G12" s="86"/>
      <c r="H12" s="86"/>
      <c r="I12" s="91"/>
      <c r="J12" s="92"/>
      <c r="K12" s="92"/>
      <c r="L12" s="74"/>
      <c r="M12" s="86"/>
      <c r="N12" s="86"/>
      <c r="O12" s="91"/>
      <c r="P12" s="92"/>
      <c r="Q12" s="92"/>
      <c r="R12" s="74" t="s">
        <v>37</v>
      </c>
      <c r="S12" s="86">
        <v>0.64583333333333337</v>
      </c>
      <c r="T12" s="86">
        <v>0.89583333333333337</v>
      </c>
      <c r="U12" s="91"/>
      <c r="V12" s="92"/>
      <c r="W12" s="92"/>
      <c r="X12" s="75">
        <f t="shared" si="0"/>
        <v>0.25</v>
      </c>
      <c r="Y12" s="13"/>
    </row>
    <row r="13" spans="1:25" ht="29.25" thickBot="1">
      <c r="A13" s="90">
        <v>8</v>
      </c>
      <c r="B13" s="78" t="s">
        <v>18</v>
      </c>
      <c r="C13" s="14" t="s">
        <v>16</v>
      </c>
      <c r="D13" s="86"/>
      <c r="E13" s="86"/>
      <c r="F13" s="74" t="s">
        <v>0</v>
      </c>
      <c r="G13" s="86">
        <v>0.375</v>
      </c>
      <c r="H13" s="86">
        <v>0.66666666666666663</v>
      </c>
      <c r="I13" s="74" t="s">
        <v>37</v>
      </c>
      <c r="J13" s="86">
        <v>0.5</v>
      </c>
      <c r="K13" s="86">
        <v>0.83333333333333337</v>
      </c>
      <c r="L13" s="74"/>
      <c r="M13" s="86"/>
      <c r="N13" s="86"/>
      <c r="O13" s="91"/>
      <c r="P13" s="92"/>
      <c r="Q13" s="92"/>
      <c r="R13" s="91"/>
      <c r="S13" s="92"/>
      <c r="T13" s="92"/>
      <c r="U13" s="91"/>
      <c r="V13" s="92"/>
      <c r="W13" s="92"/>
      <c r="X13" s="75">
        <f t="shared" si="0"/>
        <v>0.625</v>
      </c>
      <c r="Y13" s="13"/>
    </row>
    <row r="14" spans="1:25" ht="29.25" thickBot="1">
      <c r="A14" s="90">
        <v>9</v>
      </c>
      <c r="B14" s="78" t="s">
        <v>39</v>
      </c>
      <c r="C14" s="74"/>
      <c r="D14" s="86"/>
      <c r="E14" s="86"/>
      <c r="F14" s="91"/>
      <c r="G14" s="92"/>
      <c r="H14" s="92"/>
      <c r="I14" s="91"/>
      <c r="J14" s="92"/>
      <c r="K14" s="92"/>
      <c r="L14" s="74" t="s">
        <v>37</v>
      </c>
      <c r="M14" s="86">
        <v>0.64583333333333337</v>
      </c>
      <c r="N14" s="86">
        <v>0.875</v>
      </c>
      <c r="O14" s="14" t="s">
        <v>16</v>
      </c>
      <c r="P14" s="86"/>
      <c r="Q14" s="86"/>
      <c r="R14" s="74" t="s">
        <v>0</v>
      </c>
      <c r="S14" s="86">
        <v>0.45833333333333331</v>
      </c>
      <c r="T14" s="86">
        <v>0.71875</v>
      </c>
      <c r="U14" s="74"/>
      <c r="V14" s="86"/>
      <c r="W14" s="86"/>
      <c r="X14" s="75">
        <f t="shared" si="0"/>
        <v>0.48958333333333331</v>
      </c>
      <c r="Y14" s="13"/>
    </row>
    <row r="15" spans="1:25" ht="29.25" thickBot="1">
      <c r="A15" s="90">
        <v>10</v>
      </c>
      <c r="B15" s="79" t="s">
        <v>19</v>
      </c>
      <c r="C15" s="14" t="s">
        <v>16</v>
      </c>
      <c r="D15" s="86"/>
      <c r="E15" s="86"/>
      <c r="F15" s="74" t="s">
        <v>0</v>
      </c>
      <c r="G15" s="86">
        <v>0.65625</v>
      </c>
      <c r="H15" s="86">
        <v>1</v>
      </c>
      <c r="I15" s="74" t="s">
        <v>0</v>
      </c>
      <c r="J15" s="86">
        <v>0.65625</v>
      </c>
      <c r="K15" s="86">
        <v>1</v>
      </c>
      <c r="L15" s="74"/>
      <c r="M15" s="86"/>
      <c r="N15" s="86"/>
      <c r="O15" s="91"/>
      <c r="P15" s="92"/>
      <c r="Q15" s="92"/>
      <c r="R15" s="74" t="s">
        <v>17</v>
      </c>
      <c r="S15" s="86"/>
      <c r="T15" s="86"/>
      <c r="U15" s="74"/>
      <c r="V15" s="86"/>
      <c r="W15" s="86"/>
      <c r="X15" s="75">
        <f t="shared" si="0"/>
        <v>0.6875</v>
      </c>
      <c r="Y15" s="13"/>
    </row>
    <row r="16" spans="1:25" ht="28.5">
      <c r="A16" s="90">
        <v>11</v>
      </c>
      <c r="B16" s="78" t="s">
        <v>46</v>
      </c>
      <c r="C16" s="88"/>
      <c r="D16" s="88"/>
      <c r="E16" s="88"/>
      <c r="F16" s="88" t="s">
        <v>16</v>
      </c>
      <c r="G16" s="88"/>
      <c r="H16" s="88"/>
      <c r="I16" s="88" t="s">
        <v>17</v>
      </c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75">
        <f>E16-D16+H16-G16+K16-J16+N16-M16+Q16-P16+T16-S16+W16-V16</f>
        <v>0</v>
      </c>
      <c r="Y16" s="13"/>
    </row>
    <row r="17" spans="1:26" ht="27" customHeight="1" thickBot="1">
      <c r="A17" s="90">
        <v>12</v>
      </c>
      <c r="B17" s="78" t="s">
        <v>24</v>
      </c>
      <c r="C17" s="74" t="s">
        <v>0</v>
      </c>
      <c r="D17" s="86">
        <v>0.70833333333333337</v>
      </c>
      <c r="E17" s="86">
        <v>1</v>
      </c>
      <c r="F17" s="74" t="s">
        <v>37</v>
      </c>
      <c r="G17" s="86">
        <v>0.45833333333333331</v>
      </c>
      <c r="H17" s="86">
        <v>0.83333333333333337</v>
      </c>
      <c r="I17" s="74" t="s">
        <v>0</v>
      </c>
      <c r="J17" s="86">
        <v>0.375</v>
      </c>
      <c r="K17" s="86">
        <v>0.66666666666666663</v>
      </c>
      <c r="L17" s="74"/>
      <c r="M17" s="86"/>
      <c r="N17" s="86"/>
      <c r="O17" s="91"/>
      <c r="P17" s="92"/>
      <c r="Q17" s="92"/>
      <c r="R17" s="14" t="s">
        <v>16</v>
      </c>
      <c r="S17" s="86"/>
      <c r="T17" s="86"/>
      <c r="U17" s="74"/>
      <c r="V17" s="86"/>
      <c r="W17" s="86"/>
      <c r="X17" s="75">
        <f t="shared" si="0"/>
        <v>0.95833333333333348</v>
      </c>
      <c r="Y17" s="13"/>
    </row>
    <row r="18" spans="1:26" ht="27" customHeight="1" thickBot="1">
      <c r="A18" s="90">
        <v>13</v>
      </c>
      <c r="B18" s="78" t="s">
        <v>20</v>
      </c>
      <c r="C18" s="91"/>
      <c r="D18" s="92"/>
      <c r="E18" s="92"/>
      <c r="F18" s="91"/>
      <c r="G18" s="92"/>
      <c r="H18" s="92"/>
      <c r="I18" s="91"/>
      <c r="J18" s="92"/>
      <c r="K18" s="92"/>
      <c r="L18" s="14" t="s">
        <v>16</v>
      </c>
      <c r="M18" s="86"/>
      <c r="N18" s="86"/>
      <c r="O18" s="91"/>
      <c r="P18" s="92"/>
      <c r="Q18" s="92"/>
      <c r="R18" s="74" t="s">
        <v>17</v>
      </c>
      <c r="S18" s="86"/>
      <c r="T18" s="86"/>
      <c r="U18" s="91"/>
      <c r="V18" s="92"/>
      <c r="W18" s="92"/>
      <c r="X18" s="75">
        <f t="shared" si="0"/>
        <v>0</v>
      </c>
      <c r="Y18" s="13"/>
    </row>
    <row r="19" spans="1:26" ht="27" customHeight="1" thickBot="1">
      <c r="A19" s="96">
        <v>14</v>
      </c>
      <c r="B19" s="78" t="s">
        <v>48</v>
      </c>
      <c r="C19" s="74"/>
      <c r="D19" s="98"/>
      <c r="E19" s="98"/>
      <c r="F19" s="58" t="s">
        <v>22</v>
      </c>
      <c r="G19" s="98"/>
      <c r="H19" s="98"/>
      <c r="I19" s="14" t="s">
        <v>47</v>
      </c>
      <c r="J19" s="98"/>
      <c r="K19" s="98"/>
      <c r="L19" s="58" t="s">
        <v>22</v>
      </c>
      <c r="M19" s="98">
        <v>0.70833333333333337</v>
      </c>
      <c r="N19" s="98">
        <v>1</v>
      </c>
      <c r="O19" s="74"/>
      <c r="P19" s="98"/>
      <c r="Q19" s="98"/>
      <c r="R19" s="74"/>
      <c r="S19" s="98"/>
      <c r="T19" s="98"/>
      <c r="U19" s="74"/>
      <c r="V19" s="98"/>
      <c r="W19" s="98"/>
      <c r="X19" s="75"/>
      <c r="Y19" s="13"/>
    </row>
    <row r="20" spans="1:26" ht="28.5">
      <c r="A20" s="96">
        <v>15</v>
      </c>
      <c r="B20" s="78" t="s">
        <v>43</v>
      </c>
      <c r="C20" s="74" t="s">
        <v>37</v>
      </c>
      <c r="D20" s="86">
        <v>0.64583333333333337</v>
      </c>
      <c r="E20" s="86">
        <v>0.89583333333333337</v>
      </c>
      <c r="F20" s="91"/>
      <c r="G20" s="92"/>
      <c r="H20" s="92"/>
      <c r="I20" s="91"/>
      <c r="J20" s="92"/>
      <c r="K20" s="92"/>
      <c r="L20" s="91"/>
      <c r="M20" s="92"/>
      <c r="N20" s="92"/>
      <c r="O20" s="91"/>
      <c r="P20" s="92"/>
      <c r="Q20" s="92"/>
      <c r="R20" s="91"/>
      <c r="S20" s="92"/>
      <c r="T20" s="92"/>
      <c r="U20" s="91"/>
      <c r="V20" s="92"/>
      <c r="W20" s="92"/>
      <c r="X20" s="75">
        <f t="shared" si="0"/>
        <v>0.25</v>
      </c>
      <c r="Y20" s="81" t="e">
        <f>BAR!#REF!</f>
        <v>#REF!</v>
      </c>
      <c r="Z20" s="81" t="e">
        <f t="shared" ref="Z20" si="1">SUM(X20:Y20)</f>
        <v>#REF!</v>
      </c>
    </row>
    <row r="21" spans="1:26" ht="28.5">
      <c r="A21" s="96">
        <v>16</v>
      </c>
      <c r="B21" s="78" t="s">
        <v>23</v>
      </c>
      <c r="C21" s="91"/>
      <c r="D21" s="92"/>
      <c r="E21" s="92"/>
      <c r="F21" s="91"/>
      <c r="G21" s="92"/>
      <c r="H21" s="92"/>
      <c r="I21" s="91"/>
      <c r="J21" s="92"/>
      <c r="K21" s="92"/>
      <c r="L21" s="74"/>
      <c r="M21" s="86"/>
      <c r="N21" s="86"/>
      <c r="O21" s="74" t="s">
        <v>17</v>
      </c>
      <c r="P21" s="86"/>
      <c r="Q21" s="86"/>
      <c r="R21" s="74"/>
      <c r="S21" s="86"/>
      <c r="T21" s="86"/>
      <c r="U21" s="91"/>
      <c r="V21" s="92"/>
      <c r="W21" s="92"/>
      <c r="X21" s="75">
        <f t="shared" si="0"/>
        <v>0</v>
      </c>
      <c r="Y21" s="13"/>
    </row>
    <row r="22" spans="1:26" ht="28.5">
      <c r="A22" s="96">
        <v>17</v>
      </c>
      <c r="B22" s="78" t="s">
        <v>38</v>
      </c>
      <c r="C22" s="91"/>
      <c r="D22" s="92"/>
      <c r="E22" s="92"/>
      <c r="F22" s="91"/>
      <c r="G22" s="92"/>
      <c r="H22" s="92"/>
      <c r="I22" s="74" t="s">
        <v>37</v>
      </c>
      <c r="J22" s="86">
        <v>0.5</v>
      </c>
      <c r="K22" s="86">
        <v>0.75</v>
      </c>
      <c r="L22" s="74"/>
      <c r="M22" s="86"/>
      <c r="N22" s="86"/>
      <c r="O22" s="91"/>
      <c r="P22" s="92"/>
      <c r="Q22" s="92"/>
      <c r="R22" s="74" t="s">
        <v>0</v>
      </c>
      <c r="S22" s="86">
        <v>0.70833333333333337</v>
      </c>
      <c r="T22" s="86">
        <v>1</v>
      </c>
      <c r="U22" s="74" t="s">
        <v>17</v>
      </c>
      <c r="V22" s="86"/>
      <c r="W22" s="86"/>
      <c r="X22" s="75">
        <f t="shared" si="0"/>
        <v>0.54166666666666663</v>
      </c>
      <c r="Y22" s="13"/>
    </row>
    <row r="23" spans="1:26" ht="29.25" thickBot="1">
      <c r="A23" s="96">
        <v>18</v>
      </c>
      <c r="B23" s="78" t="s">
        <v>44</v>
      </c>
      <c r="C23" s="74" t="s">
        <v>37</v>
      </c>
      <c r="D23" s="86">
        <v>0.58333333333333337</v>
      </c>
      <c r="E23" s="86">
        <v>0.875</v>
      </c>
      <c r="F23" s="74" t="s">
        <v>37</v>
      </c>
      <c r="G23" s="86">
        <v>0.5</v>
      </c>
      <c r="H23" s="86">
        <v>0.875</v>
      </c>
      <c r="I23" s="74" t="s">
        <v>0</v>
      </c>
      <c r="J23" s="86">
        <v>0.375</v>
      </c>
      <c r="K23" s="86">
        <v>0.66666666666666663</v>
      </c>
      <c r="L23" s="91"/>
      <c r="M23" s="92"/>
      <c r="N23" s="92"/>
      <c r="O23" s="14" t="s">
        <v>16</v>
      </c>
      <c r="P23" s="86"/>
      <c r="Q23" s="86"/>
      <c r="R23" s="74"/>
      <c r="S23" s="86"/>
      <c r="T23" s="86"/>
      <c r="U23" s="74" t="s">
        <v>0</v>
      </c>
      <c r="V23" s="86">
        <v>0.70833333333333337</v>
      </c>
      <c r="W23" s="86">
        <v>1</v>
      </c>
      <c r="X23" s="75">
        <f t="shared" si="0"/>
        <v>1.2499999999999996</v>
      </c>
      <c r="Y23" s="13"/>
    </row>
    <row r="24" spans="1:26" s="73" customFormat="1" ht="28.5">
      <c r="A24" s="17"/>
      <c r="B24" s="77"/>
      <c r="C24" s="83"/>
      <c r="D24" s="102">
        <f>SUM(E6:E23)-SUM(D6:D23)</f>
        <v>1.09375</v>
      </c>
      <c r="E24" s="102"/>
      <c r="F24" s="89"/>
      <c r="G24" s="102">
        <f>SUM(H6:H23)-SUM(G6:G23)</f>
        <v>1.3854166666666667</v>
      </c>
      <c r="H24" s="102"/>
      <c r="I24" s="76"/>
      <c r="J24" s="102">
        <f>SUM(K6:K23)-SUM(J6:J23)</f>
        <v>1.8437500000000004</v>
      </c>
      <c r="K24" s="102"/>
      <c r="L24" s="76"/>
      <c r="M24" s="102">
        <f>SUM(N6:N23)-SUM(M6:M23)</f>
        <v>0.78125</v>
      </c>
      <c r="N24" s="102"/>
      <c r="O24" s="76"/>
      <c r="P24" s="102">
        <f>SUM(Q6:Q23)-SUM(P6:P23)</f>
        <v>0.80208333333333348</v>
      </c>
      <c r="Q24" s="102"/>
      <c r="R24" s="84"/>
      <c r="S24" s="102">
        <f>SUM(T6:T23)-SUM(S6:S23)</f>
        <v>0.80208333333333348</v>
      </c>
      <c r="T24" s="102"/>
      <c r="U24" s="93"/>
      <c r="V24" s="102">
        <f>SUM(W6:W23)-SUM(V6:V23)</f>
        <v>0.88541666666666652</v>
      </c>
      <c r="W24" s="102"/>
      <c r="X24" s="85">
        <f>SUM(D24,G24,J24,M24,P24,S24,V24)</f>
        <v>7.5937500000000018</v>
      </c>
      <c r="Y24" s="13"/>
    </row>
    <row r="25" spans="1:26" ht="25.5">
      <c r="A25" s="17"/>
      <c r="B25" s="16"/>
      <c r="C25" s="100"/>
      <c r="D25" s="100"/>
      <c r="E25" s="100"/>
      <c r="F25" s="101"/>
      <c r="G25" s="101"/>
      <c r="H25" s="101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82">
        <f>SUM(X6:X14)</f>
        <v>3.6145833333333335</v>
      </c>
      <c r="Y25" s="13"/>
    </row>
    <row r="26" spans="1:26" ht="26.25" thickBot="1">
      <c r="A26" s="17"/>
      <c r="B26" s="16"/>
      <c r="C26" s="100"/>
      <c r="D26" s="100"/>
      <c r="E26" s="100"/>
      <c r="F26" s="101"/>
      <c r="G26" s="101"/>
      <c r="H26" s="101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8"/>
      <c r="Y26" s="13"/>
    </row>
    <row r="27" spans="1:26" ht="20.25" customHeight="1">
      <c r="A27" s="17"/>
      <c r="B27" s="16"/>
      <c r="C27" s="28">
        <v>21</v>
      </c>
      <c r="D27" s="19"/>
      <c r="E27" s="19"/>
      <c r="F27" s="28">
        <v>27</v>
      </c>
      <c r="G27" s="19"/>
      <c r="H27" s="19"/>
      <c r="I27" s="28">
        <v>27</v>
      </c>
      <c r="J27" s="21"/>
      <c r="K27" s="21"/>
      <c r="L27" s="29">
        <v>15</v>
      </c>
      <c r="M27" s="45"/>
      <c r="N27" s="19"/>
      <c r="O27" s="29">
        <v>15</v>
      </c>
      <c r="P27" s="19"/>
      <c r="Q27" s="8"/>
      <c r="R27" s="28">
        <v>20</v>
      </c>
      <c r="S27" s="23"/>
      <c r="T27" s="23"/>
      <c r="U27" s="29">
        <v>15</v>
      </c>
      <c r="V27" s="8"/>
      <c r="W27" s="5"/>
      <c r="X27" s="18"/>
      <c r="Y27" s="13"/>
    </row>
    <row r="28" spans="1:26" ht="20.25" customHeight="1" thickBot="1">
      <c r="A28" s="17"/>
      <c r="B28" s="45"/>
      <c r="C28" s="67"/>
      <c r="D28" s="45"/>
      <c r="E28" s="45"/>
      <c r="F28" s="45"/>
      <c r="G28" s="45"/>
      <c r="H28" s="45"/>
      <c r="I28" s="45"/>
      <c r="J28" s="45"/>
      <c r="K28" s="45"/>
      <c r="L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1"/>
      <c r="Y28" s="27"/>
    </row>
    <row r="29" spans="1:26" ht="25.5" customHeight="1" thickBot="1">
      <c r="A29" s="17"/>
      <c r="B29" s="45"/>
      <c r="C29" s="28">
        <v>21</v>
      </c>
      <c r="D29" s="24"/>
      <c r="E29" s="24"/>
      <c r="F29" s="28">
        <v>27</v>
      </c>
      <c r="G29" s="24"/>
      <c r="H29" s="24"/>
      <c r="I29" s="28">
        <v>27</v>
      </c>
      <c r="J29" s="45"/>
      <c r="K29" s="45"/>
      <c r="L29" s="29">
        <v>15</v>
      </c>
      <c r="M29" s="24"/>
      <c r="N29" s="24"/>
      <c r="O29" s="29">
        <v>15</v>
      </c>
      <c r="P29" s="24"/>
      <c r="Q29" s="25"/>
      <c r="R29" s="28">
        <v>20</v>
      </c>
      <c r="S29" s="26"/>
      <c r="T29" s="26"/>
      <c r="U29" s="29">
        <v>15</v>
      </c>
      <c r="V29" s="45"/>
      <c r="W29" s="45"/>
      <c r="X29" s="30">
        <f>SUM(C27:U27)</f>
        <v>140</v>
      </c>
      <c r="Y29" s="31"/>
    </row>
    <row r="30" spans="1:26" ht="25.5" customHeight="1">
      <c r="A30" s="17"/>
      <c r="B30" s="45"/>
      <c r="C30" s="20">
        <v>29</v>
      </c>
      <c r="D30" s="24"/>
      <c r="E30" s="24"/>
      <c r="F30" s="20">
        <v>36</v>
      </c>
      <c r="G30" s="24"/>
      <c r="H30" s="24"/>
      <c r="I30" s="20">
        <v>36</v>
      </c>
      <c r="J30" s="45"/>
      <c r="K30" s="45"/>
      <c r="L30" s="22">
        <v>15</v>
      </c>
      <c r="M30" s="24"/>
      <c r="N30" s="24"/>
      <c r="O30" s="22">
        <v>15</v>
      </c>
      <c r="P30" s="24"/>
      <c r="Q30" s="25"/>
      <c r="R30" s="20">
        <v>36</v>
      </c>
      <c r="S30" s="26"/>
      <c r="T30" s="26"/>
      <c r="U30" s="20">
        <v>15</v>
      </c>
      <c r="V30" s="45"/>
      <c r="W30" s="45"/>
      <c r="X30" s="32"/>
      <c r="Y30" s="31"/>
    </row>
    <row r="31" spans="1:26" ht="23.25" customHeight="1" thickBot="1">
      <c r="A31" s="17"/>
      <c r="B31" s="67"/>
      <c r="C31" s="33">
        <v>42</v>
      </c>
      <c r="D31" s="24"/>
      <c r="E31" s="24"/>
      <c r="F31" s="33">
        <v>50</v>
      </c>
      <c r="G31" s="24"/>
      <c r="H31" s="24"/>
      <c r="I31" s="33">
        <v>50</v>
      </c>
      <c r="J31" s="45"/>
      <c r="K31" s="45"/>
      <c r="L31" s="34">
        <v>15</v>
      </c>
      <c r="M31" s="24"/>
      <c r="N31" s="24"/>
      <c r="O31" s="34">
        <v>15</v>
      </c>
      <c r="P31" s="24"/>
      <c r="Q31" s="25"/>
      <c r="R31" s="33">
        <v>40</v>
      </c>
      <c r="S31" s="26"/>
      <c r="T31" s="26"/>
      <c r="U31" s="34">
        <v>15</v>
      </c>
      <c r="V31" s="45"/>
      <c r="W31" s="45"/>
      <c r="X31" s="32"/>
      <c r="Y31" s="1"/>
    </row>
    <row r="32" spans="1:26" ht="27.75" thickBot="1">
      <c r="A32" s="17"/>
      <c r="B32" s="68"/>
      <c r="C32" s="68"/>
      <c r="D32" s="69"/>
      <c r="E32" s="70"/>
      <c r="F32" s="69"/>
      <c r="G32" s="70"/>
      <c r="H32" s="69"/>
      <c r="I32" s="69"/>
      <c r="J32" s="69"/>
      <c r="K32" s="69"/>
      <c r="L32" s="69"/>
      <c r="M32" s="69"/>
      <c r="N32" s="69"/>
      <c r="O32" s="69"/>
      <c r="P32" s="69"/>
      <c r="Q32" s="69"/>
      <c r="R32" s="69"/>
      <c r="S32" s="70"/>
      <c r="T32" s="69"/>
      <c r="U32" s="69"/>
      <c r="V32" s="70"/>
      <c r="W32" s="69"/>
      <c r="X32" s="32"/>
      <c r="Y32" s="31"/>
    </row>
    <row r="33" spans="1:25" ht="25.5">
      <c r="A33" s="17"/>
      <c r="B33" s="43" t="s">
        <v>25</v>
      </c>
      <c r="C33" s="44" t="s">
        <v>26</v>
      </c>
      <c r="D33" s="36"/>
      <c r="E33" s="36"/>
      <c r="F33" s="35"/>
      <c r="G33" s="36"/>
      <c r="H33" s="36"/>
      <c r="I33" s="35"/>
      <c r="J33" s="37"/>
      <c r="K33" s="37"/>
      <c r="L33" s="38"/>
      <c r="M33" s="36"/>
      <c r="N33" s="36"/>
      <c r="O33" s="38"/>
      <c r="P33" s="39"/>
      <c r="Q33" s="36"/>
      <c r="R33" s="35"/>
      <c r="S33" s="40"/>
      <c r="T33" s="40"/>
      <c r="U33" s="38"/>
      <c r="V33" s="41"/>
      <c r="W33" s="5"/>
      <c r="X33" s="32"/>
      <c r="Y33" s="42"/>
    </row>
    <row r="34" spans="1:25" ht="25.5">
      <c r="A34" s="17"/>
      <c r="B34" s="49" t="s">
        <v>27</v>
      </c>
      <c r="C34" s="50" t="s">
        <v>28</v>
      </c>
      <c r="D34" s="45"/>
      <c r="E34" s="46"/>
      <c r="F34" s="46"/>
      <c r="G34" s="47"/>
      <c r="H34" s="1"/>
      <c r="I34" s="1"/>
      <c r="J34" s="48"/>
      <c r="K34" s="48"/>
      <c r="L34" s="45"/>
      <c r="M34" s="45"/>
      <c r="N34" s="45"/>
      <c r="O34" s="45"/>
      <c r="P34" s="45"/>
      <c r="Q34" s="45"/>
      <c r="R34" s="1"/>
      <c r="S34" s="1"/>
      <c r="T34" s="1"/>
      <c r="U34" s="1"/>
      <c r="V34" s="1"/>
      <c r="W34" s="1"/>
      <c r="X34" s="32"/>
      <c r="Y34" s="42"/>
    </row>
    <row r="35" spans="1:25" ht="26.25" customHeight="1">
      <c r="A35" s="15"/>
      <c r="B35" s="53" t="s">
        <v>29</v>
      </c>
      <c r="C35" s="88"/>
      <c r="D35" s="47"/>
      <c r="E35" s="47"/>
      <c r="F35" s="51"/>
      <c r="G35" s="1"/>
      <c r="H35" s="1"/>
      <c r="I35" s="45"/>
      <c r="J35" s="45"/>
      <c r="K35" s="1"/>
      <c r="L35" s="1"/>
      <c r="M35" s="45"/>
      <c r="N35" s="45"/>
      <c r="O35" s="45"/>
      <c r="P35" s="45"/>
      <c r="Q35" s="1"/>
      <c r="R35" s="1"/>
      <c r="S35" s="1"/>
      <c r="T35" s="1"/>
      <c r="U35" s="1"/>
      <c r="V35" s="99"/>
      <c r="W35" s="99"/>
      <c r="X35" s="52"/>
      <c r="Y35" s="42"/>
    </row>
    <row r="36" spans="1:25" ht="25.5">
      <c r="A36" s="56"/>
      <c r="B36" s="57" t="s">
        <v>30</v>
      </c>
      <c r="C36" s="58" t="s">
        <v>22</v>
      </c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54"/>
      <c r="W36" s="55"/>
      <c r="X36" s="5"/>
      <c r="Y36" s="42"/>
    </row>
    <row r="37" spans="1:25" ht="25.5">
      <c r="A37" s="56"/>
      <c r="B37" s="71" t="s">
        <v>31</v>
      </c>
      <c r="C37" s="7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54"/>
      <c r="W37" s="55"/>
      <c r="X37" s="5"/>
      <c r="Y37" s="42"/>
    </row>
    <row r="38" spans="1:25" ht="25.5">
      <c r="A38" s="1"/>
      <c r="B38" s="61" t="s">
        <v>32</v>
      </c>
      <c r="C38" s="62" t="s">
        <v>33</v>
      </c>
      <c r="D38" s="1"/>
      <c r="E38" s="1"/>
      <c r="F38" s="1"/>
      <c r="G38" s="5"/>
      <c r="H38" s="5"/>
      <c r="I38" s="5"/>
      <c r="J38" s="5"/>
      <c r="K38" s="5"/>
      <c r="L38" s="1"/>
      <c r="M38" s="1"/>
      <c r="N38" s="1"/>
      <c r="O38" s="1"/>
      <c r="P38" s="1"/>
      <c r="Q38" s="59"/>
      <c r="R38" s="60"/>
      <c r="S38" s="1"/>
      <c r="T38" s="1"/>
      <c r="U38" s="1"/>
      <c r="V38" s="54"/>
      <c r="W38" s="5"/>
      <c r="X38" s="45"/>
      <c r="Y38" s="42"/>
    </row>
    <row r="39" spans="1:25" ht="26.25" thickBot="1">
      <c r="A39" s="64"/>
      <c r="B39" s="14" t="s">
        <v>34</v>
      </c>
      <c r="C39" s="14" t="s">
        <v>16</v>
      </c>
      <c r="D39" s="1"/>
      <c r="E39" s="1"/>
      <c r="F39" s="1"/>
      <c r="G39" s="5"/>
      <c r="H39" s="5"/>
      <c r="I39" s="5"/>
      <c r="J39" s="5"/>
      <c r="K39" s="5"/>
      <c r="L39" s="1"/>
      <c r="M39" s="1"/>
      <c r="N39" s="1"/>
      <c r="O39" s="1"/>
      <c r="P39" s="1"/>
      <c r="Q39" s="1"/>
      <c r="R39" s="1"/>
      <c r="S39" s="1"/>
      <c r="T39" s="1"/>
      <c r="U39" s="1"/>
      <c r="V39" s="54"/>
      <c r="W39" s="63"/>
      <c r="X39" s="55"/>
      <c r="Y39" s="42"/>
    </row>
    <row r="40" spans="1:25" ht="25.5">
      <c r="D40" s="65"/>
      <c r="E40" s="2"/>
      <c r="F40" s="2"/>
      <c r="G40" s="2"/>
      <c r="H40" s="2"/>
      <c r="I40" s="2"/>
      <c r="J40" s="2"/>
      <c r="K40" s="2"/>
      <c r="L40" s="66"/>
      <c r="M40" s="2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1"/>
      <c r="Y40" s="31"/>
    </row>
  </sheetData>
  <sortState ref="B6:W22">
    <sortCondition ref="B6"/>
  </sortState>
  <mergeCells count="36">
    <mergeCell ref="A4:A5"/>
    <mergeCell ref="S1:X2"/>
    <mergeCell ref="G2:K2"/>
    <mergeCell ref="L2:M2"/>
    <mergeCell ref="O2:P2"/>
    <mergeCell ref="B4:B5"/>
    <mergeCell ref="C4:E4"/>
    <mergeCell ref="F4:H4"/>
    <mergeCell ref="I4:K4"/>
    <mergeCell ref="L4:N4"/>
    <mergeCell ref="O4:Q4"/>
    <mergeCell ref="R4:T4"/>
    <mergeCell ref="U4:W4"/>
    <mergeCell ref="X4:X5"/>
    <mergeCell ref="C5:E5"/>
    <mergeCell ref="F5:H5"/>
    <mergeCell ref="I5:K5"/>
    <mergeCell ref="L5:N5"/>
    <mergeCell ref="O5:Q5"/>
    <mergeCell ref="R5:T5"/>
    <mergeCell ref="U5:W5"/>
    <mergeCell ref="S24:T24"/>
    <mergeCell ref="V24:W24"/>
    <mergeCell ref="U25:W26"/>
    <mergeCell ref="R25:T26"/>
    <mergeCell ref="D24:E24"/>
    <mergeCell ref="G24:H24"/>
    <mergeCell ref="J24:K24"/>
    <mergeCell ref="M24:N24"/>
    <mergeCell ref="P24:Q24"/>
    <mergeCell ref="V35:W35"/>
    <mergeCell ref="C25:E26"/>
    <mergeCell ref="F25:H26"/>
    <mergeCell ref="I25:K26"/>
    <mergeCell ref="L25:N26"/>
    <mergeCell ref="O25:Q26"/>
  </mergeCells>
  <conditionalFormatting sqref="E24">
    <cfRule type="cellIs" dxfId="13" priority="7" stopIfTrue="1" operator="greaterThanOrEqual">
      <formula>7.66666666666667</formula>
    </cfRule>
  </conditionalFormatting>
  <conditionalFormatting sqref="H24">
    <cfRule type="cellIs" dxfId="12" priority="6" stopIfTrue="1" operator="greaterThanOrEqual">
      <formula>7.66666666666667</formula>
    </cfRule>
  </conditionalFormatting>
  <conditionalFormatting sqref="K24">
    <cfRule type="cellIs" dxfId="11" priority="5" stopIfTrue="1" operator="greaterThanOrEqual">
      <formula>7.66666666666667</formula>
    </cfRule>
  </conditionalFormatting>
  <conditionalFormatting sqref="N24">
    <cfRule type="cellIs" dxfId="10" priority="4" stopIfTrue="1" operator="greaterThanOrEqual">
      <formula>7.66666666666667</formula>
    </cfRule>
  </conditionalFormatting>
  <conditionalFormatting sqref="Q24">
    <cfRule type="cellIs" dxfId="9" priority="3" stopIfTrue="1" operator="greaterThanOrEqual">
      <formula>7.66666666666667</formula>
    </cfRule>
  </conditionalFormatting>
  <conditionalFormatting sqref="T24">
    <cfRule type="cellIs" dxfId="8" priority="2" stopIfTrue="1" operator="greaterThanOrEqual">
      <formula>7.66666666666667</formula>
    </cfRule>
  </conditionalFormatting>
  <conditionalFormatting sqref="W24">
    <cfRule type="cellIs" dxfId="7" priority="1" stopIfTrue="1" operator="greaterThanOrEqual">
      <formula>7.66666666666667</formula>
    </cfRule>
  </conditionalFormatting>
  <pageMargins left="0" right="0" top="0" bottom="0" header="0" footer="0"/>
  <pageSetup paperSize="9" scale="2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A26"/>
  <sheetViews>
    <sheetView tabSelected="1" zoomScale="60" zoomScaleNormal="60" workbookViewId="0">
      <selection activeCell="H27" sqref="H27"/>
    </sheetView>
  </sheetViews>
  <sheetFormatPr defaultRowHeight="15"/>
  <cols>
    <col min="1" max="1" width="9.42578125" customWidth="1"/>
    <col min="2" max="2" width="40" customWidth="1"/>
    <col min="3" max="3" width="16.85546875" customWidth="1"/>
    <col min="4" max="4" width="16.140625" bestFit="1" customWidth="1"/>
    <col min="5" max="5" width="16" customWidth="1"/>
    <col min="6" max="6" width="20.140625" customWidth="1"/>
    <col min="7" max="7" width="18" customWidth="1"/>
    <col min="8" max="8" width="17.85546875" customWidth="1"/>
    <col min="9" max="9" width="20" customWidth="1"/>
    <col min="10" max="10" width="16.140625" bestFit="1" customWidth="1"/>
    <col min="11" max="11" width="15.28515625" customWidth="1"/>
    <col min="12" max="12" width="17.28515625" customWidth="1"/>
    <col min="13" max="13" width="16.28515625" bestFit="1" customWidth="1"/>
    <col min="14" max="14" width="18.7109375" bestFit="1" customWidth="1"/>
    <col min="15" max="15" width="16.42578125" customWidth="1"/>
    <col min="16" max="16" width="16" bestFit="1" customWidth="1"/>
    <col min="17" max="17" width="15.5703125" customWidth="1"/>
    <col min="18" max="18" width="16.28515625" customWidth="1"/>
    <col min="19" max="19" width="16.140625" customWidth="1"/>
    <col min="20" max="20" width="15.28515625" customWidth="1"/>
    <col min="21" max="21" width="16.28515625" customWidth="1"/>
    <col min="22" max="22" width="16.28515625" bestFit="1" customWidth="1"/>
    <col min="23" max="23" width="17.5703125" bestFit="1" customWidth="1"/>
    <col min="24" max="26" width="28" customWidth="1"/>
    <col min="27" max="27" width="47" customWidth="1"/>
    <col min="28" max="28" width="19" customWidth="1"/>
  </cols>
  <sheetData>
    <row r="1" spans="1:27" ht="59.25" thickBot="1">
      <c r="A1" s="1"/>
      <c r="B1" s="1"/>
      <c r="C1" s="1"/>
      <c r="D1" s="2"/>
      <c r="E1" s="1"/>
      <c r="F1" s="1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07" t="s">
        <v>35</v>
      </c>
      <c r="T1" s="107"/>
      <c r="U1" s="107"/>
      <c r="V1" s="107"/>
      <c r="W1" s="107"/>
      <c r="X1" s="107"/>
      <c r="Y1" s="80"/>
      <c r="Z1" s="80"/>
      <c r="AA1" s="1"/>
    </row>
    <row r="2" spans="1:27" ht="26.25" customHeight="1" thickBot="1">
      <c r="A2" s="1"/>
      <c r="B2" s="4" t="s">
        <v>1</v>
      </c>
      <c r="C2" s="4"/>
      <c r="D2" s="5"/>
      <c r="E2" s="5"/>
      <c r="F2" s="5"/>
      <c r="G2" s="108" t="s">
        <v>2</v>
      </c>
      <c r="H2" s="109"/>
      <c r="I2" s="109"/>
      <c r="J2" s="109"/>
      <c r="K2" s="110"/>
      <c r="L2" s="111">
        <f>C4</f>
        <v>45989</v>
      </c>
      <c r="M2" s="111"/>
      <c r="N2" s="6" t="s">
        <v>3</v>
      </c>
      <c r="O2" s="112">
        <f>U4</f>
        <v>45995</v>
      </c>
      <c r="P2" s="112"/>
      <c r="Q2" s="7"/>
      <c r="R2" s="8"/>
      <c r="S2" s="107"/>
      <c r="T2" s="107"/>
      <c r="U2" s="107"/>
      <c r="V2" s="107"/>
      <c r="W2" s="107"/>
      <c r="X2" s="107"/>
      <c r="Y2" s="80"/>
      <c r="Z2" s="80"/>
      <c r="AA2" s="1"/>
    </row>
    <row r="3" spans="1:27" ht="25.5">
      <c r="A3" s="1"/>
      <c r="B3" s="9"/>
      <c r="C3" s="9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0"/>
      <c r="U3" s="1"/>
      <c r="V3" s="1"/>
      <c r="W3" s="1"/>
      <c r="X3" s="1"/>
      <c r="Y3" s="1"/>
      <c r="Z3" s="1"/>
      <c r="AA3" s="1"/>
    </row>
    <row r="4" spans="1:27" ht="25.5">
      <c r="A4" s="106" t="s">
        <v>4</v>
      </c>
      <c r="B4" s="113" t="s">
        <v>5</v>
      </c>
      <c r="C4" s="114">
        <v>45989</v>
      </c>
      <c r="D4" s="114"/>
      <c r="E4" s="114"/>
      <c r="F4" s="114">
        <v>45990</v>
      </c>
      <c r="G4" s="114"/>
      <c r="H4" s="114"/>
      <c r="I4" s="114">
        <v>45991</v>
      </c>
      <c r="J4" s="114"/>
      <c r="K4" s="114"/>
      <c r="L4" s="114">
        <v>45992</v>
      </c>
      <c r="M4" s="114"/>
      <c r="N4" s="114"/>
      <c r="O4" s="114">
        <v>45993</v>
      </c>
      <c r="P4" s="114"/>
      <c r="Q4" s="114"/>
      <c r="R4" s="114">
        <v>45994</v>
      </c>
      <c r="S4" s="114"/>
      <c r="T4" s="114"/>
      <c r="U4" s="114">
        <v>45995</v>
      </c>
      <c r="V4" s="114"/>
      <c r="W4" s="114"/>
      <c r="X4" s="115" t="s">
        <v>6</v>
      </c>
      <c r="Y4" s="16"/>
      <c r="Z4" s="16"/>
      <c r="AA4" s="11"/>
    </row>
    <row r="5" spans="1:27" ht="25.5">
      <c r="A5" s="106"/>
      <c r="B5" s="113"/>
      <c r="C5" s="103" t="s">
        <v>7</v>
      </c>
      <c r="D5" s="103"/>
      <c r="E5" s="103"/>
      <c r="F5" s="103" t="s">
        <v>8</v>
      </c>
      <c r="G5" s="103"/>
      <c r="H5" s="103"/>
      <c r="I5" s="103" t="s">
        <v>9</v>
      </c>
      <c r="J5" s="103"/>
      <c r="K5" s="103"/>
      <c r="L5" s="104" t="s">
        <v>10</v>
      </c>
      <c r="M5" s="104"/>
      <c r="N5" s="104"/>
      <c r="O5" s="104" t="s">
        <v>11</v>
      </c>
      <c r="P5" s="104"/>
      <c r="Q5" s="104"/>
      <c r="R5" s="103" t="s">
        <v>12</v>
      </c>
      <c r="S5" s="103"/>
      <c r="T5" s="103"/>
      <c r="U5" s="104" t="s">
        <v>13</v>
      </c>
      <c r="V5" s="104"/>
      <c r="W5" s="105"/>
      <c r="X5" s="115"/>
      <c r="Y5" s="16"/>
      <c r="Z5" s="16"/>
      <c r="AA5" s="12" t="s">
        <v>14</v>
      </c>
    </row>
    <row r="6" spans="1:27" ht="29.25" thickBot="1">
      <c r="A6" s="95">
        <v>1</v>
      </c>
      <c r="B6" s="78" t="s">
        <v>21</v>
      </c>
      <c r="C6" s="91"/>
      <c r="D6" s="92"/>
      <c r="E6" s="92"/>
      <c r="F6" s="91"/>
      <c r="G6" s="92"/>
      <c r="H6" s="92"/>
      <c r="I6" s="91"/>
      <c r="J6" s="92"/>
      <c r="K6" s="92"/>
      <c r="L6" s="74" t="s">
        <v>17</v>
      </c>
      <c r="M6" s="86">
        <v>0.54166666666666663</v>
      </c>
      <c r="N6" s="86">
        <v>0.79166666666666663</v>
      </c>
      <c r="O6" s="74" t="s">
        <v>0</v>
      </c>
      <c r="P6" s="86"/>
      <c r="Q6" s="86"/>
      <c r="R6" s="74"/>
      <c r="S6" s="86"/>
      <c r="T6" s="86"/>
      <c r="U6" s="14" t="s">
        <v>16</v>
      </c>
      <c r="V6" s="86">
        <v>0.375</v>
      </c>
      <c r="W6" s="86">
        <v>0.5</v>
      </c>
      <c r="X6" s="75">
        <f>E6-D6+H6-G6+K6-J6+N6-M6+Q6-P6+T6-S6+W6-V6</f>
        <v>0.375</v>
      </c>
      <c r="Y6" s="81">
        <f>BAR!X6</f>
        <v>0.26041666666666669</v>
      </c>
      <c r="Z6" s="81">
        <f>SUM(X6:Y6)</f>
        <v>0.63541666666666674</v>
      </c>
      <c r="AA6" s="12"/>
    </row>
    <row r="7" spans="1:27" ht="29.25" thickBot="1">
      <c r="A7" s="95">
        <v>2</v>
      </c>
      <c r="B7" s="78" t="s">
        <v>15</v>
      </c>
      <c r="C7" s="74" t="s">
        <v>0</v>
      </c>
      <c r="D7" s="86"/>
      <c r="E7" s="86"/>
      <c r="F7" s="91"/>
      <c r="G7" s="92"/>
      <c r="H7" s="92"/>
      <c r="I7" s="91"/>
      <c r="J7" s="92"/>
      <c r="K7" s="92"/>
      <c r="L7" s="14" t="s">
        <v>16</v>
      </c>
      <c r="M7" s="86">
        <v>0.375</v>
      </c>
      <c r="N7" s="86">
        <v>0.5</v>
      </c>
      <c r="O7" s="74" t="s">
        <v>37</v>
      </c>
      <c r="P7" s="86"/>
      <c r="Q7" s="86"/>
      <c r="R7" s="91"/>
      <c r="S7" s="86"/>
      <c r="T7" s="86"/>
      <c r="U7" s="74" t="s">
        <v>0</v>
      </c>
      <c r="V7" s="86"/>
      <c r="W7" s="86"/>
      <c r="X7" s="75">
        <f t="shared" ref="X7:X23" si="0">E7-D7+H7-G7+K7-J7+N7-M7+Q7-P7+T7-S7+W7-V7</f>
        <v>0.125</v>
      </c>
      <c r="Y7" s="81">
        <f>BAR!X7</f>
        <v>0.85416666666666652</v>
      </c>
      <c r="Z7" s="81">
        <f t="shared" ref="Z7:Z23" si="1">SUM(X7:Y7)</f>
        <v>0.97916666666666652</v>
      </c>
      <c r="AA7" s="13"/>
    </row>
    <row r="8" spans="1:27" ht="28.5">
      <c r="A8" s="95">
        <v>3</v>
      </c>
      <c r="B8" s="78" t="s">
        <v>42</v>
      </c>
      <c r="C8" s="74" t="s">
        <v>17</v>
      </c>
      <c r="D8" s="86">
        <v>0.54166666666666663</v>
      </c>
      <c r="E8" s="86">
        <v>0.79166666666666663</v>
      </c>
      <c r="F8" s="91"/>
      <c r="G8" s="92"/>
      <c r="H8" s="92"/>
      <c r="I8" s="91"/>
      <c r="J8" s="92"/>
      <c r="K8" s="92"/>
      <c r="L8" s="74" t="s">
        <v>17</v>
      </c>
      <c r="M8" s="86">
        <v>0.79166666666666663</v>
      </c>
      <c r="N8" s="86">
        <v>1.0416666666666667</v>
      </c>
      <c r="O8" s="91"/>
      <c r="P8" s="92"/>
      <c r="Q8" s="92"/>
      <c r="R8" s="74"/>
      <c r="S8" s="86"/>
      <c r="T8" s="86"/>
      <c r="U8" s="74" t="s">
        <v>37</v>
      </c>
      <c r="V8" s="86"/>
      <c r="W8" s="86"/>
      <c r="X8" s="75">
        <f t="shared" si="0"/>
        <v>0.50000000000000011</v>
      </c>
      <c r="Y8" s="81">
        <f>BAR!X8</f>
        <v>0.25</v>
      </c>
      <c r="Z8" s="81">
        <f t="shared" si="1"/>
        <v>0.75000000000000011</v>
      </c>
      <c r="AA8" s="13"/>
    </row>
    <row r="9" spans="1:27" ht="29.25" thickBot="1">
      <c r="A9" s="95">
        <v>4</v>
      </c>
      <c r="B9" s="78" t="s">
        <v>40</v>
      </c>
      <c r="C9" s="74"/>
      <c r="D9" s="86"/>
      <c r="E9" s="86"/>
      <c r="F9" s="91"/>
      <c r="G9" s="92"/>
      <c r="H9" s="92"/>
      <c r="I9" s="91"/>
      <c r="J9" s="92"/>
      <c r="K9" s="92"/>
      <c r="L9" s="14" t="s">
        <v>16</v>
      </c>
      <c r="M9" s="86">
        <v>0.875</v>
      </c>
      <c r="N9" s="86">
        <v>1.0416666666666667</v>
      </c>
      <c r="O9" s="74" t="s">
        <v>0</v>
      </c>
      <c r="P9" s="86"/>
      <c r="Q9" s="86"/>
      <c r="R9" s="74"/>
      <c r="S9" s="86"/>
      <c r="T9" s="86"/>
      <c r="U9" s="74" t="s">
        <v>17</v>
      </c>
      <c r="V9" s="86">
        <v>0.54166666666666663</v>
      </c>
      <c r="W9" s="86">
        <v>0.79166666666666663</v>
      </c>
      <c r="X9" s="75">
        <f t="shared" si="0"/>
        <v>0.41666666666666674</v>
      </c>
      <c r="Y9" s="81">
        <f>BAR!X9</f>
        <v>0.29166666666666663</v>
      </c>
      <c r="Z9" s="81">
        <f t="shared" si="1"/>
        <v>0.70833333333333337</v>
      </c>
      <c r="AA9" s="13"/>
    </row>
    <row r="10" spans="1:27" ht="29.25" thickBot="1">
      <c r="A10" s="95">
        <v>5</v>
      </c>
      <c r="B10" s="78" t="s">
        <v>36</v>
      </c>
      <c r="C10" s="91"/>
      <c r="D10" s="92"/>
      <c r="E10" s="92"/>
      <c r="F10" s="91"/>
      <c r="G10" s="92"/>
      <c r="H10" s="92"/>
      <c r="I10" s="91"/>
      <c r="J10" s="92"/>
      <c r="K10" s="92"/>
      <c r="L10" s="74" t="s">
        <v>0</v>
      </c>
      <c r="M10" s="86"/>
      <c r="N10" s="86"/>
      <c r="O10" s="74" t="s">
        <v>17</v>
      </c>
      <c r="P10" s="86">
        <v>0.54166666666666663</v>
      </c>
      <c r="Q10" s="86">
        <v>0.79166666666666663</v>
      </c>
      <c r="R10" s="14" t="s">
        <v>16</v>
      </c>
      <c r="S10" s="86">
        <v>0.375</v>
      </c>
      <c r="T10" s="86">
        <v>0.5</v>
      </c>
      <c r="U10" s="74"/>
      <c r="V10" s="86"/>
      <c r="W10" s="86"/>
      <c r="X10" s="75">
        <f t="shared" si="0"/>
        <v>0.375</v>
      </c>
      <c r="Y10" s="81">
        <f>BAR!X10</f>
        <v>0.26041666666666669</v>
      </c>
      <c r="Z10" s="81">
        <f t="shared" si="1"/>
        <v>0.63541666666666674</v>
      </c>
      <c r="AA10" s="13"/>
    </row>
    <row r="11" spans="1:27" ht="29.25" thickBot="1">
      <c r="A11" s="95">
        <v>6</v>
      </c>
      <c r="B11" s="78" t="s">
        <v>41</v>
      </c>
      <c r="C11" s="74" t="s">
        <v>17</v>
      </c>
      <c r="D11" s="86">
        <v>0.70833333333333337</v>
      </c>
      <c r="E11" s="86">
        <v>1.0416666666666667</v>
      </c>
      <c r="F11" s="74" t="s">
        <v>17</v>
      </c>
      <c r="G11" s="86">
        <v>0.70833333333333337</v>
      </c>
      <c r="H11" s="86">
        <v>1.0416666666666667</v>
      </c>
      <c r="I11" s="74" t="s">
        <v>37</v>
      </c>
      <c r="J11" s="86"/>
      <c r="K11" s="86"/>
      <c r="L11" s="91"/>
      <c r="M11" s="92"/>
      <c r="N11" s="92"/>
      <c r="O11" s="74"/>
      <c r="P11" s="86"/>
      <c r="Q11" s="86"/>
      <c r="R11" s="91"/>
      <c r="S11" s="92"/>
      <c r="T11" s="92"/>
      <c r="U11" s="14" t="s">
        <v>16</v>
      </c>
      <c r="V11" s="86">
        <v>0.875</v>
      </c>
      <c r="W11" s="86">
        <v>1.0416666666666667</v>
      </c>
      <c r="X11" s="75">
        <f t="shared" si="0"/>
        <v>0.83333333333333348</v>
      </c>
      <c r="Y11" s="81">
        <f>BAR!X11</f>
        <v>0.33333333333333337</v>
      </c>
      <c r="Z11" s="81">
        <f t="shared" si="1"/>
        <v>1.166666666666667</v>
      </c>
      <c r="AA11" s="13"/>
    </row>
    <row r="12" spans="1:27" ht="29.25" thickBot="1">
      <c r="A12" s="95">
        <v>7</v>
      </c>
      <c r="B12" s="78" t="s">
        <v>45</v>
      </c>
      <c r="C12" s="74"/>
      <c r="D12" s="86"/>
      <c r="E12" s="86"/>
      <c r="F12" s="14" t="s">
        <v>47</v>
      </c>
      <c r="G12" s="86">
        <v>0.375</v>
      </c>
      <c r="H12" s="86">
        <v>0.70833333333333337</v>
      </c>
      <c r="I12" s="91"/>
      <c r="J12" s="92"/>
      <c r="K12" s="92"/>
      <c r="L12" s="74"/>
      <c r="M12" s="86"/>
      <c r="N12" s="86"/>
      <c r="O12" s="91"/>
      <c r="P12" s="92"/>
      <c r="Q12" s="92"/>
      <c r="R12" s="74" t="s">
        <v>37</v>
      </c>
      <c r="S12" s="86"/>
      <c r="T12" s="86"/>
      <c r="U12" s="91"/>
      <c r="V12" s="92"/>
      <c r="W12" s="92"/>
      <c r="X12" s="75">
        <f t="shared" si="0"/>
        <v>0.33333333333333337</v>
      </c>
      <c r="Y12" s="81">
        <f>BAR!X12</f>
        <v>0.25</v>
      </c>
      <c r="Z12" s="81">
        <f t="shared" si="1"/>
        <v>0.58333333333333337</v>
      </c>
      <c r="AA12" s="13"/>
    </row>
    <row r="13" spans="1:27" ht="29.25" thickBot="1">
      <c r="A13" s="95">
        <v>8</v>
      </c>
      <c r="B13" s="78" t="s">
        <v>18</v>
      </c>
      <c r="C13" s="14" t="s">
        <v>16</v>
      </c>
      <c r="D13" s="86">
        <v>0.375</v>
      </c>
      <c r="E13" s="86">
        <v>0.5</v>
      </c>
      <c r="F13" s="74" t="s">
        <v>0</v>
      </c>
      <c r="G13" s="86"/>
      <c r="H13" s="86"/>
      <c r="I13" s="74" t="s">
        <v>0</v>
      </c>
      <c r="J13" s="86"/>
      <c r="K13" s="86"/>
      <c r="L13" s="74"/>
      <c r="M13" s="86"/>
      <c r="N13" s="86"/>
      <c r="O13" s="91"/>
      <c r="P13" s="92"/>
      <c r="Q13" s="92"/>
      <c r="R13" s="91"/>
      <c r="S13" s="92"/>
      <c r="T13" s="92"/>
      <c r="U13" s="91"/>
      <c r="V13" s="92"/>
      <c r="W13" s="92"/>
      <c r="X13" s="75">
        <f t="shared" si="0"/>
        <v>0.125</v>
      </c>
      <c r="Y13" s="81">
        <f>BAR!X13</f>
        <v>0.625</v>
      </c>
      <c r="Z13" s="81">
        <f t="shared" si="1"/>
        <v>0.75</v>
      </c>
      <c r="AA13" s="13"/>
    </row>
    <row r="14" spans="1:27" ht="29.25" thickBot="1">
      <c r="A14" s="95">
        <v>9</v>
      </c>
      <c r="B14" s="78" t="s">
        <v>39</v>
      </c>
      <c r="C14" s="74"/>
      <c r="D14" s="86"/>
      <c r="E14" s="86"/>
      <c r="F14" s="91"/>
      <c r="G14" s="92"/>
      <c r="H14" s="92"/>
      <c r="I14" s="91"/>
      <c r="J14" s="92"/>
      <c r="K14" s="92"/>
      <c r="L14" s="74" t="s">
        <v>37</v>
      </c>
      <c r="M14" s="86"/>
      <c r="N14" s="86"/>
      <c r="O14" s="14" t="s">
        <v>16</v>
      </c>
      <c r="P14" s="86">
        <v>0.375</v>
      </c>
      <c r="Q14" s="86">
        <v>0.5</v>
      </c>
      <c r="R14" s="74" t="s">
        <v>0</v>
      </c>
      <c r="S14" s="86"/>
      <c r="T14" s="86"/>
      <c r="U14" s="74"/>
      <c r="V14" s="86"/>
      <c r="W14" s="86"/>
      <c r="X14" s="75">
        <f t="shared" si="0"/>
        <v>0.125</v>
      </c>
      <c r="Y14" s="81">
        <f>BAR!X14</f>
        <v>0.48958333333333331</v>
      </c>
      <c r="Z14" s="81">
        <f t="shared" si="1"/>
        <v>0.61458333333333326</v>
      </c>
      <c r="AA14" s="13"/>
    </row>
    <row r="15" spans="1:27" ht="27.75" customHeight="1" thickBot="1">
      <c r="A15" s="95">
        <v>10</v>
      </c>
      <c r="B15" s="79" t="s">
        <v>19</v>
      </c>
      <c r="C15" s="14" t="s">
        <v>16</v>
      </c>
      <c r="D15" s="86">
        <v>0.875</v>
      </c>
      <c r="E15" s="86">
        <v>1.0416666666666667</v>
      </c>
      <c r="F15" s="74" t="s">
        <v>0</v>
      </c>
      <c r="G15" s="86"/>
      <c r="H15" s="86"/>
      <c r="I15" s="74" t="s">
        <v>37</v>
      </c>
      <c r="J15" s="86"/>
      <c r="K15" s="86"/>
      <c r="L15" s="74"/>
      <c r="M15" s="86"/>
      <c r="N15" s="86"/>
      <c r="O15" s="91"/>
      <c r="P15" s="92"/>
      <c r="Q15" s="92"/>
      <c r="R15" s="74" t="s">
        <v>17</v>
      </c>
      <c r="S15" s="86">
        <v>0.54166666666666663</v>
      </c>
      <c r="T15" s="86">
        <v>0.79166666666666663</v>
      </c>
      <c r="U15" s="74"/>
      <c r="V15" s="86"/>
      <c r="W15" s="86"/>
      <c r="X15" s="75">
        <f t="shared" si="0"/>
        <v>0.41666666666666674</v>
      </c>
      <c r="Y15" s="81">
        <f>BAR!X15</f>
        <v>0.6875</v>
      </c>
      <c r="Z15" s="81">
        <f t="shared" si="1"/>
        <v>1.1041666666666667</v>
      </c>
    </row>
    <row r="16" spans="1:27" ht="28.5">
      <c r="A16" s="95">
        <v>11</v>
      </c>
      <c r="B16" s="78" t="s">
        <v>46</v>
      </c>
      <c r="C16" s="88"/>
      <c r="D16" s="88"/>
      <c r="E16" s="88"/>
      <c r="F16" s="88" t="s">
        <v>16</v>
      </c>
      <c r="G16" s="97">
        <v>0.875</v>
      </c>
      <c r="H16" s="97">
        <v>1.0416666666666701</v>
      </c>
      <c r="I16" s="116" t="s">
        <v>17</v>
      </c>
      <c r="J16" s="97">
        <v>0.70833333333333337</v>
      </c>
      <c r="K16" s="97">
        <v>1.0416666666666667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75">
        <f t="shared" si="0"/>
        <v>0.50000000000000344</v>
      </c>
      <c r="Y16" s="81">
        <f>BAR!X16</f>
        <v>0</v>
      </c>
      <c r="Z16" s="81">
        <f t="shared" si="1"/>
        <v>0.50000000000000344</v>
      </c>
    </row>
    <row r="17" spans="1:26" ht="29.25" thickBot="1">
      <c r="A17" s="95">
        <v>12</v>
      </c>
      <c r="B17" s="78" t="s">
        <v>24</v>
      </c>
      <c r="C17" s="74" t="s">
        <v>0</v>
      </c>
      <c r="D17" s="86"/>
      <c r="E17" s="86"/>
      <c r="F17" s="74" t="s">
        <v>37</v>
      </c>
      <c r="G17" s="86"/>
      <c r="H17" s="86"/>
      <c r="I17" s="74" t="s">
        <v>0</v>
      </c>
      <c r="J17" s="86"/>
      <c r="K17" s="86"/>
      <c r="L17" s="74"/>
      <c r="M17" s="86"/>
      <c r="N17" s="86"/>
      <c r="O17" s="91"/>
      <c r="P17" s="92"/>
      <c r="Q17" s="92"/>
      <c r="R17" s="14" t="s">
        <v>16</v>
      </c>
      <c r="S17" s="86">
        <v>0.875</v>
      </c>
      <c r="T17" s="86">
        <v>1.0416666666666667</v>
      </c>
      <c r="U17" s="74"/>
      <c r="V17" s="86"/>
      <c r="W17" s="86"/>
      <c r="X17" s="75">
        <f t="shared" si="0"/>
        <v>0.16666666666666674</v>
      </c>
      <c r="Y17" s="81">
        <f>BAR!X17</f>
        <v>0.95833333333333348</v>
      </c>
      <c r="Z17" s="81">
        <f t="shared" si="1"/>
        <v>1.1250000000000002</v>
      </c>
    </row>
    <row r="18" spans="1:26" ht="29.25" thickBot="1">
      <c r="A18" s="95">
        <v>13</v>
      </c>
      <c r="B18" s="78" t="s">
        <v>20</v>
      </c>
      <c r="C18" s="91"/>
      <c r="D18" s="92"/>
      <c r="E18" s="92"/>
      <c r="F18" s="91"/>
      <c r="G18" s="92"/>
      <c r="H18" s="92"/>
      <c r="I18" s="91"/>
      <c r="J18" s="92"/>
      <c r="K18" s="92"/>
      <c r="L18" s="14" t="s">
        <v>16</v>
      </c>
      <c r="M18" s="86">
        <v>0.375</v>
      </c>
      <c r="N18" s="86">
        <v>0.5</v>
      </c>
      <c r="O18" s="91"/>
      <c r="P18" s="92"/>
      <c r="Q18" s="92"/>
      <c r="R18" s="74" t="s">
        <v>17</v>
      </c>
      <c r="S18" s="86">
        <v>0.79166666666666663</v>
      </c>
      <c r="T18" s="86">
        <v>1.0416666666666667</v>
      </c>
      <c r="U18" s="91"/>
      <c r="V18" s="92"/>
      <c r="W18" s="92"/>
      <c r="X18" s="75">
        <f t="shared" si="0"/>
        <v>0.37500000000000011</v>
      </c>
      <c r="Y18" s="81">
        <f>BAR!X18</f>
        <v>0</v>
      </c>
      <c r="Z18" s="81">
        <f t="shared" si="1"/>
        <v>0.37500000000000011</v>
      </c>
    </row>
    <row r="19" spans="1:26" ht="29.25" thickBot="1">
      <c r="A19" s="96">
        <v>14</v>
      </c>
      <c r="B19" s="78" t="s">
        <v>48</v>
      </c>
      <c r="C19" s="74"/>
      <c r="D19" s="98"/>
      <c r="E19" s="98"/>
      <c r="F19" s="58" t="s">
        <v>22</v>
      </c>
      <c r="G19" s="98">
        <v>0.54166666666666663</v>
      </c>
      <c r="H19" s="98">
        <v>0.79166666666666663</v>
      </c>
      <c r="I19" s="14" t="s">
        <v>47</v>
      </c>
      <c r="J19" s="86">
        <v>0.375</v>
      </c>
      <c r="K19" s="86">
        <v>0.70833333333333337</v>
      </c>
      <c r="L19" s="58" t="s">
        <v>22</v>
      </c>
      <c r="M19" s="98"/>
      <c r="N19" s="98"/>
      <c r="O19" s="74"/>
      <c r="P19" s="98"/>
      <c r="Q19" s="98"/>
      <c r="R19" s="74"/>
      <c r="S19" s="98"/>
      <c r="T19" s="98"/>
      <c r="U19" s="74"/>
      <c r="V19" s="98"/>
      <c r="W19" s="98"/>
      <c r="X19" s="75"/>
      <c r="Y19" s="81"/>
      <c r="Z19" s="81"/>
    </row>
    <row r="20" spans="1:26" ht="28.5">
      <c r="A20" s="95">
        <v>15</v>
      </c>
      <c r="B20" s="78" t="s">
        <v>43</v>
      </c>
      <c r="C20" s="74" t="s">
        <v>37</v>
      </c>
      <c r="D20" s="86"/>
      <c r="E20" s="86"/>
      <c r="F20" s="91"/>
      <c r="G20" s="92"/>
      <c r="H20" s="92"/>
      <c r="I20" s="91"/>
      <c r="J20" s="92"/>
      <c r="K20" s="92"/>
      <c r="L20" s="91"/>
      <c r="M20" s="92"/>
      <c r="N20" s="92"/>
      <c r="O20" s="91"/>
      <c r="P20" s="92"/>
      <c r="Q20" s="92"/>
      <c r="R20" s="91"/>
      <c r="S20" s="92"/>
      <c r="T20" s="92"/>
      <c r="U20" s="91"/>
      <c r="V20" s="92"/>
      <c r="W20" s="92"/>
      <c r="X20" s="75">
        <f t="shared" si="0"/>
        <v>0</v>
      </c>
      <c r="Y20" s="81">
        <f>BAR!X20</f>
        <v>0.25</v>
      </c>
      <c r="Z20" s="81">
        <f t="shared" si="1"/>
        <v>0.25</v>
      </c>
    </row>
    <row r="21" spans="1:26" ht="28.5">
      <c r="A21" s="95">
        <v>16</v>
      </c>
      <c r="B21" s="78" t="s">
        <v>23</v>
      </c>
      <c r="C21" s="91"/>
      <c r="D21" s="92"/>
      <c r="E21" s="92"/>
      <c r="F21" s="91"/>
      <c r="G21" s="92"/>
      <c r="H21" s="92"/>
      <c r="I21" s="91"/>
      <c r="J21" s="92"/>
      <c r="K21" s="92"/>
      <c r="L21" s="74"/>
      <c r="M21" s="86"/>
      <c r="N21" s="86"/>
      <c r="O21" s="74" t="s">
        <v>17</v>
      </c>
      <c r="P21" s="86">
        <v>0.79166666666666663</v>
      </c>
      <c r="Q21" s="86">
        <v>1.0416666666666667</v>
      </c>
      <c r="R21" s="74"/>
      <c r="S21" s="86"/>
      <c r="T21" s="86"/>
      <c r="U21" s="91"/>
      <c r="V21" s="92"/>
      <c r="W21" s="92"/>
      <c r="X21" s="75">
        <f t="shared" si="0"/>
        <v>0.25000000000000011</v>
      </c>
      <c r="Y21" s="81">
        <f>BAR!X21</f>
        <v>0</v>
      </c>
      <c r="Z21" s="81">
        <f t="shared" si="1"/>
        <v>0.25000000000000011</v>
      </c>
    </row>
    <row r="22" spans="1:26" ht="28.5">
      <c r="A22" s="95">
        <v>17</v>
      </c>
      <c r="B22" s="78" t="s">
        <v>38</v>
      </c>
      <c r="C22" s="91"/>
      <c r="D22" s="92"/>
      <c r="E22" s="92"/>
      <c r="F22" s="91"/>
      <c r="G22" s="92"/>
      <c r="H22" s="92"/>
      <c r="I22" s="74" t="s">
        <v>37</v>
      </c>
      <c r="J22" s="86">
        <v>0.5</v>
      </c>
      <c r="K22" s="86">
        <v>0.75</v>
      </c>
      <c r="L22" s="74"/>
      <c r="M22" s="86"/>
      <c r="N22" s="86"/>
      <c r="O22" s="91"/>
      <c r="P22" s="92"/>
      <c r="Q22" s="92"/>
      <c r="R22" s="74" t="s">
        <v>0</v>
      </c>
      <c r="S22" s="86"/>
      <c r="T22" s="86"/>
      <c r="U22" s="74" t="s">
        <v>17</v>
      </c>
      <c r="V22" s="86">
        <v>0.79166666666666663</v>
      </c>
      <c r="W22" s="86">
        <v>1.0416666666666667</v>
      </c>
      <c r="X22" s="75">
        <f t="shared" si="0"/>
        <v>0.50000000000000011</v>
      </c>
      <c r="Y22" s="81">
        <f>BAR!X22</f>
        <v>0.54166666666666663</v>
      </c>
      <c r="Z22" s="81">
        <f t="shared" si="1"/>
        <v>1.0416666666666667</v>
      </c>
    </row>
    <row r="23" spans="1:26" ht="29.25" thickBot="1">
      <c r="A23" s="95">
        <v>18</v>
      </c>
      <c r="B23" s="78" t="s">
        <v>44</v>
      </c>
      <c r="C23" s="74" t="s">
        <v>37</v>
      </c>
      <c r="D23" s="86"/>
      <c r="E23" s="86"/>
      <c r="F23" s="74" t="s">
        <v>37</v>
      </c>
      <c r="G23" s="86"/>
      <c r="H23" s="86"/>
      <c r="I23" s="74" t="s">
        <v>0</v>
      </c>
      <c r="J23" s="86"/>
      <c r="K23" s="86"/>
      <c r="L23" s="91"/>
      <c r="M23" s="92"/>
      <c r="N23" s="92"/>
      <c r="O23" s="14" t="s">
        <v>16</v>
      </c>
      <c r="P23" s="86">
        <v>0.875</v>
      </c>
      <c r="Q23" s="86">
        <v>1.0416666666666667</v>
      </c>
      <c r="R23" s="74"/>
      <c r="S23" s="86"/>
      <c r="T23" s="86"/>
      <c r="U23" s="74" t="s">
        <v>0</v>
      </c>
      <c r="V23" s="86"/>
      <c r="W23" s="86"/>
      <c r="X23" s="75">
        <f t="shared" si="0"/>
        <v>0.16666666666666674</v>
      </c>
      <c r="Y23" s="81">
        <f>BAR!X23</f>
        <v>1.2499999999999996</v>
      </c>
      <c r="Z23" s="81">
        <f t="shared" si="1"/>
        <v>1.4166666666666663</v>
      </c>
    </row>
    <row r="24" spans="1:26" ht="28.5">
      <c r="A24" s="17"/>
      <c r="B24" s="77"/>
      <c r="C24" s="83"/>
      <c r="D24" s="102">
        <f>SUM(E6:E23)-SUM(D6:D23)</f>
        <v>0.875</v>
      </c>
      <c r="E24" s="102"/>
      <c r="F24" s="94"/>
      <c r="G24" s="102">
        <f>SUM(H6:H23)-SUM(G6:G23)</f>
        <v>1.0833333333333366</v>
      </c>
      <c r="H24" s="102"/>
      <c r="I24" s="94"/>
      <c r="J24" s="102">
        <f>SUM(K6:K23)-SUM(J6:J23)</f>
        <v>0.91666666666666652</v>
      </c>
      <c r="K24" s="102"/>
      <c r="L24" s="94"/>
      <c r="M24" s="102">
        <f>SUM(N6:N23)-SUM(M6:M23)</f>
        <v>0.91666666666666696</v>
      </c>
      <c r="N24" s="102"/>
      <c r="O24" s="94"/>
      <c r="P24" s="102">
        <f>SUM(Q6:Q23)-SUM(P6:P23)</f>
        <v>0.79166666666666696</v>
      </c>
      <c r="Q24" s="102"/>
      <c r="R24" s="84"/>
      <c r="S24" s="102">
        <f>SUM(T6:T23)-SUM(S6:S23)</f>
        <v>0.79166666666666696</v>
      </c>
      <c r="T24" s="102"/>
      <c r="U24" s="93"/>
      <c r="V24" s="102">
        <f>SUM(W6:W23)-SUM(V6:V23)</f>
        <v>0.79166666666666696</v>
      </c>
      <c r="W24" s="102"/>
      <c r="X24" s="85">
        <f>SUM(D24,G24,J24,M24,P24,S24,V24)</f>
        <v>6.1666666666666714</v>
      </c>
    </row>
    <row r="25" spans="1:26" ht="25.5">
      <c r="A25" s="17"/>
      <c r="B25" s="16"/>
      <c r="C25" s="100"/>
      <c r="D25" s="100"/>
      <c r="E25" s="100"/>
      <c r="F25" s="101"/>
      <c r="G25" s="101"/>
      <c r="H25" s="101"/>
      <c r="I25" s="100"/>
      <c r="J25" s="100"/>
      <c r="K25" s="100"/>
      <c r="L25" s="100"/>
      <c r="M25" s="100"/>
      <c r="N25" s="100"/>
      <c r="O25" s="100"/>
      <c r="P25" s="100"/>
      <c r="Q25" s="100"/>
      <c r="R25" s="100"/>
      <c r="S25" s="100"/>
      <c r="T25" s="100"/>
      <c r="U25" s="100"/>
      <c r="V25" s="100"/>
      <c r="W25" s="100"/>
      <c r="X25" s="82">
        <f>SUM(X6:X14)</f>
        <v>3.2083333333333335</v>
      </c>
    </row>
    <row r="26" spans="1:26" ht="25.5">
      <c r="A26" s="17"/>
      <c r="B26" s="16"/>
      <c r="C26" s="100"/>
      <c r="D26" s="100"/>
      <c r="E26" s="100"/>
      <c r="F26" s="101"/>
      <c r="G26" s="101"/>
      <c r="H26" s="101"/>
      <c r="I26" s="100"/>
      <c r="J26" s="100"/>
      <c r="K26" s="100"/>
      <c r="L26" s="100"/>
      <c r="M26" s="100"/>
      <c r="N26" s="100"/>
      <c r="O26" s="100"/>
      <c r="P26" s="100"/>
      <c r="Q26" s="100"/>
      <c r="R26" s="100"/>
      <c r="S26" s="100"/>
      <c r="T26" s="100"/>
      <c r="U26" s="100"/>
      <c r="V26" s="100"/>
      <c r="W26" s="100"/>
      <c r="X26" s="18"/>
    </row>
  </sheetData>
  <sortState ref="B6:W22">
    <sortCondition ref="B6"/>
  </sortState>
  <mergeCells count="35">
    <mergeCell ref="S1:X2"/>
    <mergeCell ref="G2:K2"/>
    <mergeCell ref="L2:M2"/>
    <mergeCell ref="O2:P2"/>
    <mergeCell ref="A4:A5"/>
    <mergeCell ref="B4:B5"/>
    <mergeCell ref="C4:E4"/>
    <mergeCell ref="F4:H4"/>
    <mergeCell ref="I4:K4"/>
    <mergeCell ref="L4:N4"/>
    <mergeCell ref="O4:Q4"/>
    <mergeCell ref="R4:T4"/>
    <mergeCell ref="U4:W4"/>
    <mergeCell ref="X4:X5"/>
    <mergeCell ref="C5:E5"/>
    <mergeCell ref="F5:H5"/>
    <mergeCell ref="I5:K5"/>
    <mergeCell ref="L5:N5"/>
    <mergeCell ref="O5:Q5"/>
    <mergeCell ref="R5:T5"/>
    <mergeCell ref="U5:W5"/>
    <mergeCell ref="S24:T24"/>
    <mergeCell ref="V24:W24"/>
    <mergeCell ref="C25:E26"/>
    <mergeCell ref="F25:H26"/>
    <mergeCell ref="I25:K26"/>
    <mergeCell ref="L25:N26"/>
    <mergeCell ref="O25:Q26"/>
    <mergeCell ref="R25:T26"/>
    <mergeCell ref="U25:W26"/>
    <mergeCell ref="D24:E24"/>
    <mergeCell ref="G24:H24"/>
    <mergeCell ref="J24:K24"/>
    <mergeCell ref="M24:N24"/>
    <mergeCell ref="P24:Q24"/>
  </mergeCells>
  <conditionalFormatting sqref="H24">
    <cfRule type="cellIs" dxfId="6" priority="12" stopIfTrue="1" operator="greaterThanOrEqual">
      <formula>7.66666666666667</formula>
    </cfRule>
  </conditionalFormatting>
  <conditionalFormatting sqref="E24">
    <cfRule type="cellIs" dxfId="5" priority="6" stopIfTrue="1" operator="greaterThanOrEqual">
      <formula>7.66666666666667</formula>
    </cfRule>
  </conditionalFormatting>
  <conditionalFormatting sqref="K24">
    <cfRule type="cellIs" dxfId="4" priority="5" stopIfTrue="1" operator="greaterThanOrEqual">
      <formula>7.66666666666667</formula>
    </cfRule>
  </conditionalFormatting>
  <conditionalFormatting sqref="N24">
    <cfRule type="cellIs" dxfId="3" priority="4" stopIfTrue="1" operator="greaterThanOrEqual">
      <formula>7.66666666666667</formula>
    </cfRule>
  </conditionalFormatting>
  <conditionalFormatting sqref="Q24">
    <cfRule type="cellIs" dxfId="2" priority="3" stopIfTrue="1" operator="greaterThanOrEqual">
      <formula>7.66666666666667</formula>
    </cfRule>
  </conditionalFormatting>
  <conditionalFormatting sqref="T24">
    <cfRule type="cellIs" dxfId="1" priority="2" stopIfTrue="1" operator="greaterThanOrEqual">
      <formula>7.66666666666667</formula>
    </cfRule>
  </conditionalFormatting>
  <conditionalFormatting sqref="W24">
    <cfRule type="cellIs" dxfId="0" priority="1" stopIfTrue="1" operator="greaterThanOrEqual">
      <formula>7.66666666666667</formula>
    </cfRule>
  </conditionalFormatting>
  <pageMargins left="0.25" right="0.25" top="0.75" bottom="0.75" header="0.3" footer="0.3"/>
  <pageSetup paperSize="9" scale="26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c8ebc8c2-6a3b-48cf-b83c-7ee63bd335d6">2SF76SNJT426-1866159776-3578422</_dlc_DocId>
    <lcf76f155ced4ddcb4097134ff3c332f xmlns="42a72291-e126-40da-8bfa-496eb0811850">
      <Terms xmlns="http://schemas.microsoft.com/office/infopath/2007/PartnerControls"/>
    </lcf76f155ced4ddcb4097134ff3c332f>
    <TaxCatchAll xmlns="db0a228a-5809-4a8c-bf44-42f20e23544f" xsi:nil="true"/>
    <_dlc_DocIdUrl xmlns="c8ebc8c2-6a3b-48cf-b83c-7ee63bd335d6">
      <Url>https://regal.sharepoint.com/sites/CCIFiles/_layouts/15/DocIdRedir.aspx?ID=2SF76SNJT426-1866159776-3578422</Url>
      <Description>2SF76SNJT426-1866159776-3578422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50F5B676C56D4482C364A4F3EB1B36" ma:contentTypeVersion="19" ma:contentTypeDescription="Create a new document." ma:contentTypeScope="" ma:versionID="143a0c665459ba1a29c4568c26c82de2">
  <xsd:schema xmlns:xsd="http://www.w3.org/2001/XMLSchema" xmlns:xs="http://www.w3.org/2001/XMLSchema" xmlns:p="http://schemas.microsoft.com/office/2006/metadata/properties" xmlns:ns2="c8ebc8c2-6a3b-48cf-b83c-7ee63bd335d6" xmlns:ns3="42a72291-e126-40da-8bfa-496eb0811850" xmlns:ns4="db0a228a-5809-4a8c-bf44-42f20e23544f" targetNamespace="http://schemas.microsoft.com/office/2006/metadata/properties" ma:root="true" ma:fieldsID="14ba7b1b769b787f56976fbd5de7a153" ns2:_="" ns3:_="" ns4:_="">
    <xsd:import namespace="c8ebc8c2-6a3b-48cf-b83c-7ee63bd335d6"/>
    <xsd:import namespace="42a72291-e126-40da-8bfa-496eb0811850"/>
    <xsd:import namespace="db0a228a-5809-4a8c-bf44-42f20e23544f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ServiceSearchProperties" minOccurs="0"/>
                <xsd:element ref="ns3:MediaServiceObjectDetectorVersion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ebc8c2-6a3b-48cf-b83c-7ee63bd335d6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72291-e126-40da-8bfa-496eb08118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3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4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AutoTags" ma:index="19" nillable="true" ma:displayName="Tags" ma:internalName="MediaServiceAutoTags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5" nillable="true" ma:taxonomy="true" ma:internalName="lcf76f155ced4ddcb4097134ff3c332f" ma:taxonomyFieldName="MediaServiceImageTags" ma:displayName="Image Tags" ma:readOnly="false" ma:fieldId="{5cf76f15-5ced-4ddc-b409-7134ff3c332f}" ma:taxonomyMulti="true" ma:sspId="f45342f9-f364-4e46-9302-5d97cfdbc5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b0a228a-5809-4a8c-bf44-42f20e23544f" elementFormDefault="qualified">
    <xsd:import namespace="http://schemas.microsoft.com/office/2006/documentManagement/types"/>
    <xsd:import namespace="http://schemas.microsoft.com/office/infopath/2007/PartnerControls"/>
    <xsd:element name="TaxCatchAll" ma:index="26" nillable="true" ma:displayName="Taxonomy Catch All Column" ma:hidden="true" ma:list="{540146ca-4ea7-41dd-98b6-dd3a9bbf0726}" ma:internalName="TaxCatchAll" ma:showField="CatchAllData" ma:web="c8ebc8c2-6a3b-48cf-b83c-7ee63bd335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28ECAA6-2AF3-4D36-81F4-45F4DE569078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560046B6-2F2C-4141-8151-193C552089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8A8C3CB-E997-4AC8-A2EA-349160344E7E}">
  <ds:schemaRefs>
    <ds:schemaRef ds:uri="http://purl.org/dc/dcmitype/"/>
    <ds:schemaRef ds:uri="http://schemas.microsoft.com/office/2006/documentManagement/types"/>
    <ds:schemaRef ds:uri="http://www.w3.org/XML/1998/namespace"/>
    <ds:schemaRef ds:uri="c8ebc8c2-6a3b-48cf-b83c-7ee63bd335d6"/>
    <ds:schemaRef ds:uri="db0a228a-5809-4a8c-bf44-42f20e23544f"/>
    <ds:schemaRef ds:uri="http://schemas.openxmlformats.org/package/2006/metadata/core-properties"/>
    <ds:schemaRef ds:uri="http://purl.org/dc/terms/"/>
    <ds:schemaRef ds:uri="http://schemas.microsoft.com/office/2006/metadata/properties"/>
    <ds:schemaRef ds:uri="42a72291-e126-40da-8bfa-496eb0811850"/>
    <ds:schemaRef ds:uri="http://purl.org/dc/elements/1.1/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2E563BAD-64C9-42F7-B14D-36A78105905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8ebc8c2-6a3b-48cf-b83c-7ee63bd335d6"/>
    <ds:schemaRef ds:uri="42a72291-e126-40da-8bfa-496eb0811850"/>
    <ds:schemaRef ds:uri="db0a228a-5809-4a8c-bf44-42f20e23544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BAR</vt:lpstr>
      <vt:lpstr>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2025-11-27T09:45:03Z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0x010100FD50F5B676C56D4482C364A4F3EB1B36</vt:lpwstr>
  </property>
  <property fmtid="{D5CDD505-2E9C-101B-9397-08002B2CF9AE}" pid="4" name="_dlc_DocIdItemGuid">
    <vt:lpwstr>5570a2ed-0bf7-4caa-8555-90d7539710d8</vt:lpwstr>
  </property>
</Properties>
</file>